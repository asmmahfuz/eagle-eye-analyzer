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codeName="ThisWorkbook"/>
  <xr:revisionPtr revIDLastSave="0" documentId="8_{A7B9C1F4-FA18-476E-A9EC-427BC3380817}" xr6:coauthVersionLast="47" xr6:coauthVersionMax="47" xr10:uidLastSave="{00000000-0000-0000-0000-000000000000}"/>
  <bookViews>
    <workbookView xWindow="-108" yWindow="-108" windowWidth="23256" windowHeight="13896" firstSheet="4" activeTab="4" xr2:uid="{00000000-000D-0000-FFFF-FFFF00000000}"/>
  </bookViews>
  <sheets>
    <sheet name="Summary" sheetId="1" r:id="rId1"/>
    <sheet name="Measurements" sheetId="2" r:id="rId2"/>
    <sheet name="Decision" sheetId="3" r:id="rId3"/>
    <sheet name="Description of Diagnostics" sheetId="4" r:id="rId4"/>
    <sheet name="mean-3Sigma" sheetId="5" r:id="rId5"/>
    <sheet name="mean+3Sigma" sheetId="6" r:id="rId6"/>
    <sheet name="min" sheetId="7" r:id="rId7"/>
    <sheet name="max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3" l="1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B14" i="1"/>
</calcChain>
</file>

<file path=xl/sharedStrings.xml><?xml version="1.0" encoding="utf-8"?>
<sst xmlns="http://schemas.openxmlformats.org/spreadsheetml/2006/main" count="420" uniqueCount="77">
  <si>
    <t>CDU Factory Test Report</t>
  </si>
  <si>
    <t>Work Order Number</t>
  </si>
  <si>
    <t>WO2601284</t>
  </si>
  <si>
    <t>Sale Order Number</t>
  </si>
  <si>
    <t>Enter Sale Order #</t>
  </si>
  <si>
    <t>Part Number</t>
  </si>
  <si>
    <t>Enter Part Number</t>
  </si>
  <si>
    <t>Software Version</t>
  </si>
  <si>
    <t>0.23</t>
  </si>
  <si>
    <t>Firmware Version</t>
  </si>
  <si>
    <t>Serial Number</t>
  </si>
  <si>
    <t>1.41.329</t>
  </si>
  <si>
    <t>Tested by</t>
  </si>
  <si>
    <t>Luis.Andrade</t>
  </si>
  <si>
    <t>Date Tested</t>
  </si>
  <si>
    <t>2026-09-25</t>
  </si>
  <si>
    <t>Final Result</t>
  </si>
  <si>
    <t>Active Alarms Test</t>
  </si>
  <si>
    <t>Active Alarms</t>
  </si>
  <si>
    <t>Time</t>
  </si>
  <si>
    <t>Status (0-off 1-on)</t>
  </si>
  <si>
    <t>Group (0-standalone 1-Group lead 2-Group follow)</t>
  </si>
  <si>
    <t>TT01</t>
  </si>
  <si>
    <t>TT02</t>
  </si>
  <si>
    <t>TT31</t>
  </si>
  <si>
    <t>TT41</t>
  </si>
  <si>
    <t>TT61</t>
  </si>
  <si>
    <t>TT62</t>
  </si>
  <si>
    <t>TT51</t>
  </si>
  <si>
    <t>TT52</t>
  </si>
  <si>
    <t>TT45</t>
  </si>
  <si>
    <t>PT01</t>
  </si>
  <si>
    <t>PT02</t>
  </si>
  <si>
    <t>PT31</t>
  </si>
  <si>
    <t>PT41</t>
  </si>
  <si>
    <t>PT32</t>
  </si>
  <si>
    <t>PT42</t>
  </si>
  <si>
    <t>PT21</t>
  </si>
  <si>
    <t>PT11</t>
  </si>
  <si>
    <t>PT51</t>
  </si>
  <si>
    <t>PT52</t>
  </si>
  <si>
    <t>PT53</t>
  </si>
  <si>
    <t>PT61</t>
  </si>
  <si>
    <t>PT62</t>
  </si>
  <si>
    <t>TT01/TT02</t>
  </si>
  <si>
    <t>TT31/TT41</t>
  </si>
  <si>
    <t>TT61/TT62</t>
  </si>
  <si>
    <t>TT51/TT52</t>
  </si>
  <si>
    <t>PT01/PT02</t>
  </si>
  <si>
    <t>PT32/PT42</t>
  </si>
  <si>
    <t>PT61/PT62</t>
  </si>
  <si>
    <t>PT51/PT52</t>
  </si>
  <si>
    <t>Pump 31 Filter DP</t>
  </si>
  <si>
    <t>Pump 41 Filter DP</t>
  </si>
  <si>
    <t>Primary Filter 53 DP</t>
  </si>
  <si>
    <t>Secondary DP (Supply - Return)</t>
  </si>
  <si>
    <t>Primary DP (Supply - Return)</t>
  </si>
  <si>
    <t>FT01</t>
  </si>
  <si>
    <t>FT61</t>
  </si>
  <si>
    <t>P31 Speed %</t>
  </si>
  <si>
    <t>P41 Speed %</t>
  </si>
  <si>
    <t>FCV61 Actual Flow%</t>
  </si>
  <si>
    <t>FCV61 Actual Open%</t>
  </si>
  <si>
    <t>Air Humidity</t>
  </si>
  <si>
    <t>Air Temperature</t>
  </si>
  <si>
    <t>Program version</t>
  </si>
  <si>
    <t>Secondary Temperature Setpoint</t>
  </si>
  <si>
    <t>Secondary DP Setpoint</t>
  </si>
  <si>
    <t>Secondary Flow Setpoint</t>
  </si>
  <si>
    <t>sec</t>
  </si>
  <si>
    <t>[]</t>
  </si>
  <si>
    <t>C</t>
  </si>
  <si>
    <t>PSI</t>
  </si>
  <si>
    <t>g/min</t>
  </si>
  <si>
    <t>%</t>
  </si>
  <si>
    <t>FT</t>
  </si>
  <si>
    <t>g/m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</si>
</sst>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rgb="FF00B0F0"/>
      <name val="Calibri"/>
      <family val="2"/>
      <scheme val="minor"/>
    </font>
    <font>
      <b/>
      <sz val="8"/>
      <name val="Montserrat"/>
      <family val="3"/>
    </font>
    <font>
      <sz val="8"/>
      <color rgb="FFFF0000"/>
      <name val="Montserrat"/>
      <family val="3"/>
    </font>
    <font>
      <sz val="8"/>
      <color theme="1"/>
      <name val="Calibri"/>
      <family val="2"/>
      <scheme val="minor"/>
    </font>
    <font>
      <sz val="8"/>
      <color rgb="FF0D082F"/>
      <name val="Montserrat"/>
      <family val="3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1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0" xfId="0" applyFont="1" applyAlignment="1">
      <alignment horizontal="left" vertical="center" readingOrder="1"/>
    </xf>
    <xf numFmtId="0" fontId="5" fillId="0" borderId="0" xfId="0" applyFont="1"/>
    <xf numFmtId="0" fontId="6" fillId="0" borderId="0" xfId="0" applyFont="1" applyAlignment="1">
      <alignment horizontal="left" vertical="center" readingOrder="1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15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wrapText="1"/>
    </xf>
    <xf numFmtId="0" fontId="7" fillId="0" borderId="0" xfId="1"/>
    <xf numFmtId="0" fontId="0" fillId="0" borderId="0" xfId="0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center"/>
    </xf>
    <xf numFmtId="0" fontId="0" fillId="0" borderId="3" xfId="0" applyBorder="1" applyAlignment="1"/>
    <xf numFmtId="0" fontId="0" fillId="0" borderId="4" xfId="0" applyBorder="1" applyAlignment="1"/>
  </cellXfs>
  <cellStyles count="2">
    <cellStyle name="Hyperlink" xfId="1" builtinId="8"/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301352</xdr:colOff>
      <xdr:row>0</xdr:row>
      <xdr:rowOff>0</xdr:rowOff>
    </xdr:from>
    <xdr:to>
      <xdr:col>11</xdr:col>
      <xdr:colOff>455769</xdr:colOff>
      <xdr:row>3</xdr:row>
      <xdr:rowOff>76427</xdr:rowOff>
    </xdr:to>
    <xdr:pic>
      <xdr:nvPicPr>
        <xdr:cNvPr id="2" name="Picture 1" descr="CoolIT Systems Inc. | etp4hpc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87752" y="0"/>
          <a:ext cx="1373617" cy="806677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B14" sqref="B14"/>
    </sheetView>
  </sheetViews>
  <sheetFormatPr defaultRowHeight="14.45"/>
  <cols>
    <col min="1" max="1" width="41.85546875" bestFit="1" customWidth="1"/>
    <col min="2" max="2" width="16.140625" bestFit="1" customWidth="1"/>
  </cols>
  <sheetData>
    <row r="1" spans="1:2" ht="28.5" customHeight="1">
      <c r="A1" s="14" t="s">
        <v>0</v>
      </c>
    </row>
    <row r="4" spans="1:2">
      <c r="A4" s="12"/>
    </row>
    <row r="5" spans="1:2">
      <c r="B5" s="13"/>
    </row>
    <row r="6" spans="1:2">
      <c r="A6" s="2" t="s">
        <v>1</v>
      </c>
      <c r="B6" s="3" t="s">
        <v>2</v>
      </c>
    </row>
    <row r="7" spans="1:2">
      <c r="A7" s="2" t="s">
        <v>3</v>
      </c>
      <c r="B7" s="3" t="s">
        <v>4</v>
      </c>
    </row>
    <row r="8" spans="1:2">
      <c r="A8" s="2" t="s">
        <v>5</v>
      </c>
      <c r="B8" s="3" t="s">
        <v>6</v>
      </c>
    </row>
    <row r="9" spans="1:2">
      <c r="A9" s="2" t="s">
        <v>7</v>
      </c>
      <c r="B9" s="3" t="s">
        <v>8</v>
      </c>
    </row>
    <row r="10" spans="1:2">
      <c r="A10" s="2" t="s">
        <v>9</v>
      </c>
      <c r="B10" s="3" t="s">
        <v>8</v>
      </c>
    </row>
    <row r="11" spans="1:2">
      <c r="A11" s="2" t="s">
        <v>10</v>
      </c>
      <c r="B11" s="3" t="s">
        <v>11</v>
      </c>
    </row>
    <row r="12" spans="1:2" ht="29.1" customHeight="1">
      <c r="A12" s="11" t="s">
        <v>12</v>
      </c>
      <c r="B12" s="3" t="s">
        <v>13</v>
      </c>
    </row>
    <row r="13" spans="1:2">
      <c r="A13" s="11" t="s">
        <v>14</v>
      </c>
      <c r="B13" s="10" t="s">
        <v>15</v>
      </c>
    </row>
    <row r="14" spans="1:2">
      <c r="A14" s="2" t="s">
        <v>16</v>
      </c>
      <c r="B14" s="4" t="str">
        <f>IF(SUM(Decision!B5:AX32)=1372,"Pass","Fail")</f>
        <v>Fail</v>
      </c>
    </row>
    <row r="15" spans="1:2">
      <c r="A15" s="1"/>
    </row>
    <row r="16" spans="1:2">
      <c r="A16" s="1"/>
    </row>
    <row r="17" spans="1:2">
      <c r="A17" s="2" t="s">
        <v>17</v>
      </c>
      <c r="B17" s="4"/>
    </row>
    <row r="18" spans="1:2">
      <c r="A18" s="2" t="s">
        <v>18</v>
      </c>
      <c r="B18" s="4"/>
    </row>
  </sheetData>
  <conditionalFormatting sqref="B6:B12">
    <cfRule type="containsBlanks" dxfId="2" priority="3">
      <formula>LEN(TRIM(B6))=0</formula>
    </cfRule>
  </conditionalFormatting>
  <conditionalFormatting sqref="B14">
    <cfRule type="containsText" dxfId="1" priority="1" operator="containsText" text="PASS">
      <formula>NOT(ISERROR(SEARCH("PASS",B14)))</formula>
    </cfRule>
    <cfRule type="containsText" dxfId="0" priority="2" operator="containsText" text="FAIL">
      <formula>NOT(ISERROR(SEARCH("FAIL",B14)))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32"/>
  <sheetViews>
    <sheetView topLeftCell="AK1" zoomScaleNormal="100" workbookViewId="0">
      <selection activeCell="AI3" sqref="AI3:AI32"/>
    </sheetView>
  </sheetViews>
  <sheetFormatPr defaultRowHeight="14.45"/>
  <cols>
    <col min="1" max="1" width="5.7109375" customWidth="1"/>
    <col min="2" max="2" width="18" bestFit="1" customWidth="1"/>
    <col min="3" max="3" width="49.5703125" bestFit="1" customWidth="1"/>
    <col min="4" max="22" width="5.28515625" bestFit="1" customWidth="1"/>
    <col min="23" max="23" width="6.5703125" bestFit="1" customWidth="1"/>
    <col min="24" max="25" width="5.28515625" bestFit="1" customWidth="1"/>
    <col min="26" max="33" width="10.140625" bestFit="1" customWidth="1"/>
    <col min="34" max="35" width="17.28515625" bestFit="1" customWidth="1"/>
    <col min="36" max="36" width="19.140625" bestFit="1" customWidth="1"/>
    <col min="37" max="37" width="30" bestFit="1" customWidth="1"/>
    <col min="38" max="38" width="27.42578125" bestFit="1" customWidth="1"/>
    <col min="39" max="40" width="7.42578125" bestFit="1" customWidth="1"/>
    <col min="41" max="42" width="12.5703125" bestFit="1" customWidth="1"/>
    <col min="43" max="43" width="19.5703125" bestFit="1" customWidth="1"/>
    <col min="44" max="44" width="20" bestFit="1" customWidth="1"/>
    <col min="45" max="45" width="12.5703125" bestFit="1" customWidth="1"/>
    <col min="46" max="46" width="16.42578125" bestFit="1" customWidth="1"/>
    <col min="47" max="47" width="16.140625" bestFit="1" customWidth="1"/>
    <col min="48" max="48" width="32.140625" bestFit="1" customWidth="1"/>
    <col min="49" max="49" width="22.42578125" bestFit="1" customWidth="1"/>
    <col min="50" max="50" width="24.42578125" bestFit="1" customWidth="1"/>
  </cols>
  <sheetData>
    <row r="1" spans="1:50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47</v>
      </c>
      <c r="AD1" t="s">
        <v>48</v>
      </c>
      <c r="AE1" t="s">
        <v>49</v>
      </c>
      <c r="AF1" t="s">
        <v>50</v>
      </c>
      <c r="AG1" t="s">
        <v>51</v>
      </c>
      <c r="AH1" t="s">
        <v>52</v>
      </c>
      <c r="AI1" t="s">
        <v>53</v>
      </c>
      <c r="AJ1" t="s">
        <v>54</v>
      </c>
      <c r="AK1" t="s">
        <v>55</v>
      </c>
      <c r="AL1" t="s">
        <v>56</v>
      </c>
      <c r="AM1" t="s">
        <v>57</v>
      </c>
      <c r="AN1" t="s">
        <v>58</v>
      </c>
      <c r="AO1" t="s">
        <v>59</v>
      </c>
      <c r="AP1" t="s">
        <v>60</v>
      </c>
      <c r="AQ1" t="s">
        <v>61</v>
      </c>
      <c r="AR1" t="s">
        <v>62</v>
      </c>
      <c r="AS1" t="s">
        <v>63</v>
      </c>
      <c r="AT1" t="s">
        <v>64</v>
      </c>
      <c r="AU1" t="s">
        <v>65</v>
      </c>
      <c r="AV1" t="s">
        <v>66</v>
      </c>
      <c r="AW1" t="s">
        <v>67</v>
      </c>
      <c r="AX1" t="s">
        <v>68</v>
      </c>
    </row>
    <row r="2" spans="1:50">
      <c r="A2" t="s">
        <v>69</v>
      </c>
      <c r="B2" t="s">
        <v>70</v>
      </c>
      <c r="C2" t="s">
        <v>70</v>
      </c>
      <c r="D2" t="s">
        <v>71</v>
      </c>
      <c r="E2" t="s">
        <v>71</v>
      </c>
      <c r="F2" t="s">
        <v>71</v>
      </c>
      <c r="G2" t="s">
        <v>71</v>
      </c>
      <c r="H2" t="s">
        <v>72</v>
      </c>
      <c r="I2" t="s">
        <v>72</v>
      </c>
      <c r="J2" t="s">
        <v>72</v>
      </c>
      <c r="K2" t="s">
        <v>72</v>
      </c>
      <c r="L2" t="s">
        <v>72</v>
      </c>
      <c r="M2" t="s">
        <v>72</v>
      </c>
      <c r="N2" t="s">
        <v>72</v>
      </c>
      <c r="O2" t="s">
        <v>72</v>
      </c>
      <c r="P2" t="s">
        <v>71</v>
      </c>
      <c r="Q2" t="s">
        <v>71</v>
      </c>
      <c r="R2" t="s">
        <v>72</v>
      </c>
      <c r="S2" t="s">
        <v>72</v>
      </c>
      <c r="T2" t="s">
        <v>72</v>
      </c>
      <c r="U2" t="s">
        <v>72</v>
      </c>
      <c r="V2" t="s">
        <v>72</v>
      </c>
      <c r="W2" t="s">
        <v>73</v>
      </c>
      <c r="X2" t="s">
        <v>74</v>
      </c>
      <c r="Y2" t="s">
        <v>74</v>
      </c>
      <c r="Z2" t="s">
        <v>74</v>
      </c>
      <c r="AA2" t="s">
        <v>74</v>
      </c>
      <c r="AB2" t="s">
        <v>74</v>
      </c>
      <c r="AC2" t="s">
        <v>74</v>
      </c>
      <c r="AD2" t="s">
        <v>74</v>
      </c>
      <c r="AE2" t="s">
        <v>71</v>
      </c>
      <c r="AF2" t="s">
        <v>70</v>
      </c>
      <c r="AG2" t="s">
        <v>71</v>
      </c>
      <c r="AH2" t="s">
        <v>72</v>
      </c>
      <c r="AI2" t="s">
        <v>73</v>
      </c>
      <c r="AJ2" t="s">
        <v>72</v>
      </c>
      <c r="AK2" t="s">
        <v>72</v>
      </c>
      <c r="AL2" t="s">
        <v>72</v>
      </c>
      <c r="AM2" t="s">
        <v>75</v>
      </c>
      <c r="AN2" t="s">
        <v>75</v>
      </c>
      <c r="AO2" t="s">
        <v>74</v>
      </c>
      <c r="AP2" t="s">
        <v>74</v>
      </c>
      <c r="AQ2" t="s">
        <v>74</v>
      </c>
      <c r="AR2" t="s">
        <v>74</v>
      </c>
      <c r="AS2" t="s">
        <v>74</v>
      </c>
      <c r="AT2" t="s">
        <v>71</v>
      </c>
      <c r="AU2" t="s">
        <v>70</v>
      </c>
      <c r="AV2" t="s">
        <v>71</v>
      </c>
      <c r="AW2" t="s">
        <v>72</v>
      </c>
      <c r="AX2" t="s">
        <v>76</v>
      </c>
    </row>
    <row r="3" spans="1:50">
      <c r="A3">
        <v>15</v>
      </c>
      <c r="B3">
        <v>1</v>
      </c>
      <c r="C3">
        <v>0</v>
      </c>
      <c r="D3">
        <v>28.7</v>
      </c>
      <c r="E3">
        <v>28.7</v>
      </c>
      <c r="F3">
        <v>28.7</v>
      </c>
      <c r="G3">
        <v>28.8</v>
      </c>
      <c r="H3">
        <v>28.7</v>
      </c>
      <c r="I3">
        <v>28.6</v>
      </c>
      <c r="J3">
        <v>28.8</v>
      </c>
      <c r="K3">
        <v>28.7</v>
      </c>
      <c r="L3">
        <v>27.8</v>
      </c>
      <c r="M3">
        <v>25.6</v>
      </c>
      <c r="N3">
        <v>25.7</v>
      </c>
      <c r="O3">
        <v>40.799999999999997</v>
      </c>
      <c r="P3">
        <v>40.5</v>
      </c>
      <c r="Q3">
        <v>38.1</v>
      </c>
      <c r="R3">
        <v>38.200000000000003</v>
      </c>
      <c r="S3">
        <v>19.600000000000001</v>
      </c>
      <c r="T3">
        <v>0.1</v>
      </c>
      <c r="U3">
        <v>38.5</v>
      </c>
      <c r="V3">
        <v>38.5</v>
      </c>
      <c r="W3">
        <v>36.799999999999997</v>
      </c>
      <c r="X3">
        <v>28.2</v>
      </c>
      <c r="Y3">
        <v>28.4</v>
      </c>
      <c r="Z3">
        <v>28.7</v>
      </c>
      <c r="AA3">
        <v>28.7</v>
      </c>
      <c r="AB3">
        <v>28.7</v>
      </c>
      <c r="AC3">
        <v>28.7</v>
      </c>
      <c r="AD3">
        <v>25.6</v>
      </c>
      <c r="AE3">
        <v>38.1</v>
      </c>
      <c r="AF3">
        <v>28.3</v>
      </c>
      <c r="AG3">
        <v>38.5</v>
      </c>
      <c r="AH3">
        <v>40.6</v>
      </c>
      <c r="AI3">
        <v>2.5</v>
      </c>
      <c r="AJ3">
        <v>1.7</v>
      </c>
      <c r="AK3">
        <v>15</v>
      </c>
      <c r="AL3">
        <v>10.3</v>
      </c>
      <c r="AM3">
        <v>1410.2</v>
      </c>
      <c r="AN3">
        <v>1115.5</v>
      </c>
      <c r="AO3">
        <v>6.7</v>
      </c>
      <c r="AP3">
        <v>6.8</v>
      </c>
      <c r="AQ3">
        <v>10</v>
      </c>
      <c r="AR3">
        <v>9.9</v>
      </c>
      <c r="AS3">
        <v>49.7</v>
      </c>
      <c r="AT3">
        <v>21.8</v>
      </c>
      <c r="AU3">
        <v>23</v>
      </c>
      <c r="AV3">
        <v>40</v>
      </c>
      <c r="AW3">
        <v>15</v>
      </c>
      <c r="AX3">
        <v>100</v>
      </c>
    </row>
    <row r="4" spans="1:50">
      <c r="A4">
        <v>15</v>
      </c>
      <c r="B4">
        <v>1</v>
      </c>
      <c r="C4">
        <v>0</v>
      </c>
      <c r="D4">
        <v>28.7</v>
      </c>
      <c r="E4">
        <v>28.7</v>
      </c>
      <c r="F4">
        <v>28.7</v>
      </c>
      <c r="G4">
        <v>28.8</v>
      </c>
      <c r="H4">
        <v>28.7</v>
      </c>
      <c r="I4">
        <v>28.6</v>
      </c>
      <c r="J4">
        <v>28.8</v>
      </c>
      <c r="K4">
        <v>28.7</v>
      </c>
      <c r="L4">
        <v>27.8</v>
      </c>
      <c r="M4">
        <v>25.6</v>
      </c>
      <c r="N4">
        <v>25.7</v>
      </c>
      <c r="O4">
        <v>40.799999999999997</v>
      </c>
      <c r="P4">
        <v>40.5</v>
      </c>
      <c r="Q4">
        <v>38.1</v>
      </c>
      <c r="R4">
        <v>38.200000000000003</v>
      </c>
      <c r="S4">
        <v>19.600000000000001</v>
      </c>
      <c r="T4">
        <v>0.1</v>
      </c>
      <c r="U4">
        <v>38.5</v>
      </c>
      <c r="V4">
        <v>38.5</v>
      </c>
      <c r="W4">
        <v>36.799999999999997</v>
      </c>
      <c r="X4">
        <v>28.2</v>
      </c>
      <c r="Y4">
        <v>28.4</v>
      </c>
      <c r="Z4">
        <v>28.7</v>
      </c>
      <c r="AA4">
        <v>28.7</v>
      </c>
      <c r="AB4">
        <v>28.7</v>
      </c>
      <c r="AC4">
        <v>28.7</v>
      </c>
      <c r="AD4">
        <v>25.6</v>
      </c>
      <c r="AE4">
        <v>38.1</v>
      </c>
      <c r="AF4">
        <v>28.3</v>
      </c>
      <c r="AG4">
        <v>38.5</v>
      </c>
      <c r="AH4">
        <v>40.6</v>
      </c>
      <c r="AI4">
        <v>2.5</v>
      </c>
      <c r="AJ4">
        <v>1.7</v>
      </c>
      <c r="AK4">
        <v>15</v>
      </c>
      <c r="AL4">
        <v>10.3</v>
      </c>
      <c r="AM4">
        <v>1410.2</v>
      </c>
      <c r="AN4">
        <v>1115.5</v>
      </c>
      <c r="AO4">
        <v>6.7</v>
      </c>
      <c r="AP4">
        <v>6.8</v>
      </c>
      <c r="AQ4">
        <v>10</v>
      </c>
      <c r="AR4">
        <v>9.9</v>
      </c>
      <c r="AS4">
        <v>49.7</v>
      </c>
      <c r="AT4">
        <v>21.8</v>
      </c>
      <c r="AU4">
        <v>23</v>
      </c>
      <c r="AV4">
        <v>21</v>
      </c>
      <c r="AW4">
        <v>15</v>
      </c>
      <c r="AX4">
        <v>100</v>
      </c>
    </row>
    <row r="5" spans="1:50">
      <c r="A5">
        <v>15</v>
      </c>
      <c r="B5">
        <v>1</v>
      </c>
      <c r="C5">
        <v>0</v>
      </c>
      <c r="D5">
        <v>28.7</v>
      </c>
      <c r="E5">
        <v>28.7</v>
      </c>
      <c r="F5">
        <v>28.7</v>
      </c>
      <c r="G5">
        <v>28.8</v>
      </c>
      <c r="H5">
        <v>28.7</v>
      </c>
      <c r="I5">
        <v>28.6</v>
      </c>
      <c r="J5">
        <v>28.8</v>
      </c>
      <c r="K5">
        <v>28.7</v>
      </c>
      <c r="L5">
        <v>27.8</v>
      </c>
      <c r="M5">
        <v>25.6</v>
      </c>
      <c r="N5">
        <v>25.7</v>
      </c>
      <c r="O5">
        <v>40.799999999999997</v>
      </c>
      <c r="P5">
        <v>40.5</v>
      </c>
      <c r="Q5">
        <v>38.1</v>
      </c>
      <c r="R5">
        <v>38.200000000000003</v>
      </c>
      <c r="S5">
        <v>19.600000000000001</v>
      </c>
      <c r="T5">
        <v>0.1</v>
      </c>
      <c r="U5">
        <v>38.5</v>
      </c>
      <c r="V5">
        <v>38.5</v>
      </c>
      <c r="W5">
        <v>36.799999999999997</v>
      </c>
      <c r="X5">
        <v>28.2</v>
      </c>
      <c r="Y5">
        <v>28.4</v>
      </c>
      <c r="Z5">
        <v>28.7</v>
      </c>
      <c r="AA5">
        <v>28.7</v>
      </c>
      <c r="AB5">
        <v>28.7</v>
      </c>
      <c r="AC5">
        <v>28.7</v>
      </c>
      <c r="AD5">
        <v>25.6</v>
      </c>
      <c r="AE5">
        <v>38.1</v>
      </c>
      <c r="AF5">
        <v>28.3</v>
      </c>
      <c r="AG5">
        <v>38.5</v>
      </c>
      <c r="AH5">
        <v>40.6</v>
      </c>
      <c r="AI5">
        <v>2.5</v>
      </c>
      <c r="AJ5">
        <v>1.7</v>
      </c>
      <c r="AK5">
        <v>15</v>
      </c>
      <c r="AL5">
        <v>10.3</v>
      </c>
      <c r="AM5">
        <v>1410.2</v>
      </c>
      <c r="AN5">
        <v>1115.5</v>
      </c>
      <c r="AO5">
        <v>6.7</v>
      </c>
      <c r="AP5">
        <v>6.8</v>
      </c>
      <c r="AQ5">
        <v>10</v>
      </c>
      <c r="AR5">
        <v>9.9</v>
      </c>
      <c r="AS5">
        <v>49.7</v>
      </c>
      <c r="AT5">
        <v>21.8</v>
      </c>
      <c r="AU5">
        <v>23</v>
      </c>
      <c r="AV5">
        <v>21</v>
      </c>
      <c r="AW5">
        <v>5</v>
      </c>
      <c r="AX5">
        <v>100</v>
      </c>
    </row>
    <row r="6" spans="1:50">
      <c r="A6">
        <v>75</v>
      </c>
      <c r="B6">
        <v>1</v>
      </c>
      <c r="C6">
        <v>0</v>
      </c>
      <c r="D6">
        <v>28.8</v>
      </c>
      <c r="E6">
        <v>28.8</v>
      </c>
      <c r="F6">
        <v>28.8</v>
      </c>
      <c r="G6">
        <v>28.9</v>
      </c>
      <c r="H6">
        <v>28.8</v>
      </c>
      <c r="I6">
        <v>28.7</v>
      </c>
      <c r="J6">
        <v>28.8</v>
      </c>
      <c r="K6">
        <v>28.8</v>
      </c>
      <c r="L6">
        <v>27.9</v>
      </c>
      <c r="M6">
        <v>26.1</v>
      </c>
      <c r="N6">
        <v>26.3</v>
      </c>
      <c r="O6">
        <v>36.9</v>
      </c>
      <c r="P6">
        <v>36.4</v>
      </c>
      <c r="Q6">
        <v>34.6</v>
      </c>
      <c r="R6">
        <v>34.6</v>
      </c>
      <c r="S6">
        <v>21.5</v>
      </c>
      <c r="T6">
        <v>0.1</v>
      </c>
      <c r="U6">
        <v>35.6</v>
      </c>
      <c r="V6">
        <v>35.5</v>
      </c>
      <c r="W6">
        <v>34.1</v>
      </c>
      <c r="X6">
        <v>28.1</v>
      </c>
      <c r="Y6">
        <v>28.3</v>
      </c>
      <c r="Z6">
        <v>28.8</v>
      </c>
      <c r="AA6">
        <v>28.8</v>
      </c>
      <c r="AB6">
        <v>28.8</v>
      </c>
      <c r="AC6">
        <v>28.8</v>
      </c>
      <c r="AD6">
        <v>26.2</v>
      </c>
      <c r="AE6">
        <v>34.6</v>
      </c>
      <c r="AF6">
        <v>28.2</v>
      </c>
      <c r="AG6">
        <v>35.5</v>
      </c>
      <c r="AH6">
        <v>36.700000000000003</v>
      </c>
      <c r="AI6">
        <v>2.1</v>
      </c>
      <c r="AJ6">
        <v>1.5</v>
      </c>
      <c r="AK6">
        <v>10.9</v>
      </c>
      <c r="AL6">
        <v>7.3</v>
      </c>
      <c r="AM6">
        <v>1285.0999999999999</v>
      </c>
      <c r="AN6">
        <v>1001.9</v>
      </c>
      <c r="AO6">
        <v>5.7</v>
      </c>
      <c r="AP6">
        <v>5.7</v>
      </c>
      <c r="AQ6">
        <v>10</v>
      </c>
      <c r="AR6">
        <v>9.9</v>
      </c>
      <c r="AS6">
        <v>49.9</v>
      </c>
      <c r="AT6">
        <v>21.7</v>
      </c>
      <c r="AU6">
        <v>23</v>
      </c>
      <c r="AV6">
        <v>21</v>
      </c>
      <c r="AW6">
        <v>5</v>
      </c>
      <c r="AX6">
        <v>160</v>
      </c>
    </row>
    <row r="7" spans="1:50">
      <c r="A7">
        <v>75</v>
      </c>
      <c r="B7">
        <v>1</v>
      </c>
      <c r="C7">
        <v>0</v>
      </c>
      <c r="D7">
        <v>28.8</v>
      </c>
      <c r="E7">
        <v>28.8</v>
      </c>
      <c r="F7">
        <v>28.8</v>
      </c>
      <c r="G7">
        <v>28.9</v>
      </c>
      <c r="H7">
        <v>28.8</v>
      </c>
      <c r="I7">
        <v>28.7</v>
      </c>
      <c r="J7">
        <v>28.8</v>
      </c>
      <c r="K7">
        <v>28.8</v>
      </c>
      <c r="L7">
        <v>27.9</v>
      </c>
      <c r="M7">
        <v>26.1</v>
      </c>
      <c r="N7">
        <v>26.3</v>
      </c>
      <c r="O7">
        <v>36.9</v>
      </c>
      <c r="P7">
        <v>36.4</v>
      </c>
      <c r="Q7">
        <v>34.6</v>
      </c>
      <c r="R7">
        <v>34.6</v>
      </c>
      <c r="S7">
        <v>21.5</v>
      </c>
      <c r="T7">
        <v>0.1</v>
      </c>
      <c r="U7">
        <v>35.6</v>
      </c>
      <c r="V7">
        <v>35.5</v>
      </c>
      <c r="W7">
        <v>34.1</v>
      </c>
      <c r="X7">
        <v>28.1</v>
      </c>
      <c r="Y7">
        <v>28.3</v>
      </c>
      <c r="Z7">
        <v>28.8</v>
      </c>
      <c r="AA7">
        <v>28.8</v>
      </c>
      <c r="AB7">
        <v>28.8</v>
      </c>
      <c r="AC7">
        <v>28.8</v>
      </c>
      <c r="AD7">
        <v>26.2</v>
      </c>
      <c r="AE7">
        <v>34.6</v>
      </c>
      <c r="AF7">
        <v>28.2</v>
      </c>
      <c r="AG7">
        <v>35.5</v>
      </c>
      <c r="AH7">
        <v>36.700000000000003</v>
      </c>
      <c r="AI7">
        <v>2.1</v>
      </c>
      <c r="AJ7">
        <v>1.5</v>
      </c>
      <c r="AK7">
        <v>10.9</v>
      </c>
      <c r="AL7">
        <v>7.3</v>
      </c>
      <c r="AM7">
        <v>1285.0999999999999</v>
      </c>
      <c r="AN7">
        <v>1001.9</v>
      </c>
      <c r="AO7">
        <v>5.7</v>
      </c>
      <c r="AP7">
        <v>5.7</v>
      </c>
      <c r="AQ7">
        <v>10</v>
      </c>
      <c r="AR7">
        <v>9.9</v>
      </c>
      <c r="AS7">
        <v>49.9</v>
      </c>
      <c r="AT7">
        <v>21.7</v>
      </c>
      <c r="AU7">
        <v>23</v>
      </c>
      <c r="AV7">
        <v>21</v>
      </c>
      <c r="AW7">
        <v>5</v>
      </c>
      <c r="AX7">
        <v>160</v>
      </c>
    </row>
    <row r="8" spans="1:50">
      <c r="A8">
        <v>75</v>
      </c>
      <c r="B8">
        <v>1</v>
      </c>
      <c r="C8">
        <v>0</v>
      </c>
      <c r="D8">
        <v>28.8</v>
      </c>
      <c r="E8">
        <v>28.8</v>
      </c>
      <c r="F8">
        <v>28.8</v>
      </c>
      <c r="G8">
        <v>28.9</v>
      </c>
      <c r="H8">
        <v>28.8</v>
      </c>
      <c r="I8">
        <v>28.7</v>
      </c>
      <c r="J8">
        <v>28.8</v>
      </c>
      <c r="K8">
        <v>28.8</v>
      </c>
      <c r="L8">
        <v>27.9</v>
      </c>
      <c r="M8">
        <v>26.1</v>
      </c>
      <c r="N8">
        <v>26.3</v>
      </c>
      <c r="O8">
        <v>36.799999999999997</v>
      </c>
      <c r="P8">
        <v>36.4</v>
      </c>
      <c r="Q8">
        <v>34.4</v>
      </c>
      <c r="R8">
        <v>34.5</v>
      </c>
      <c r="S8">
        <v>21.5</v>
      </c>
      <c r="T8">
        <v>0.1</v>
      </c>
      <c r="U8">
        <v>35.5</v>
      </c>
      <c r="V8">
        <v>35.5</v>
      </c>
      <c r="W8">
        <v>34</v>
      </c>
      <c r="X8">
        <v>28.1</v>
      </c>
      <c r="Y8">
        <v>28.3</v>
      </c>
      <c r="Z8">
        <v>28.8</v>
      </c>
      <c r="AA8">
        <v>28.8</v>
      </c>
      <c r="AB8">
        <v>28.8</v>
      </c>
      <c r="AC8">
        <v>28.8</v>
      </c>
      <c r="AD8">
        <v>26.2</v>
      </c>
      <c r="AE8">
        <v>34.4</v>
      </c>
      <c r="AF8">
        <v>28.2</v>
      </c>
      <c r="AG8">
        <v>35.5</v>
      </c>
      <c r="AH8">
        <v>36.6</v>
      </c>
      <c r="AI8">
        <v>2.2000000000000002</v>
      </c>
      <c r="AJ8">
        <v>1.5</v>
      </c>
      <c r="AK8">
        <v>10.8</v>
      </c>
      <c r="AL8">
        <v>7.3</v>
      </c>
      <c r="AM8">
        <v>1285.0999999999999</v>
      </c>
      <c r="AN8">
        <v>999.1</v>
      </c>
      <c r="AO8">
        <v>5.7</v>
      </c>
      <c r="AP8">
        <v>5.7</v>
      </c>
      <c r="AQ8">
        <v>10</v>
      </c>
      <c r="AR8">
        <v>9.9</v>
      </c>
      <c r="AS8">
        <v>49.9</v>
      </c>
      <c r="AT8">
        <v>21.7</v>
      </c>
      <c r="AU8">
        <v>23</v>
      </c>
      <c r="AV8">
        <v>21</v>
      </c>
      <c r="AW8">
        <v>10</v>
      </c>
      <c r="AX8">
        <v>160</v>
      </c>
    </row>
    <row r="9" spans="1:50">
      <c r="A9">
        <v>135</v>
      </c>
      <c r="B9">
        <v>1</v>
      </c>
      <c r="C9">
        <v>0</v>
      </c>
      <c r="D9">
        <v>28.9</v>
      </c>
      <c r="E9">
        <v>28.9</v>
      </c>
      <c r="F9">
        <v>28.9</v>
      </c>
      <c r="G9">
        <v>28.9</v>
      </c>
      <c r="H9">
        <v>28.9</v>
      </c>
      <c r="I9">
        <v>28.8</v>
      </c>
      <c r="J9">
        <v>28.9</v>
      </c>
      <c r="K9">
        <v>28.9</v>
      </c>
      <c r="L9">
        <v>28</v>
      </c>
      <c r="M9">
        <v>26.1</v>
      </c>
      <c r="N9">
        <v>26.3</v>
      </c>
      <c r="O9">
        <v>36.799999999999997</v>
      </c>
      <c r="P9">
        <v>36.4</v>
      </c>
      <c r="Q9">
        <v>34.5</v>
      </c>
      <c r="R9">
        <v>34.5</v>
      </c>
      <c r="S9">
        <v>21.5</v>
      </c>
      <c r="T9">
        <v>0.1</v>
      </c>
      <c r="U9">
        <v>35.4</v>
      </c>
      <c r="V9">
        <v>35.5</v>
      </c>
      <c r="W9">
        <v>34</v>
      </c>
      <c r="X9">
        <v>28.1</v>
      </c>
      <c r="Y9">
        <v>28.3</v>
      </c>
      <c r="Z9">
        <v>28.9</v>
      </c>
      <c r="AA9">
        <v>28.9</v>
      </c>
      <c r="AB9">
        <v>28.9</v>
      </c>
      <c r="AC9">
        <v>28.9</v>
      </c>
      <c r="AD9">
        <v>26.2</v>
      </c>
      <c r="AE9">
        <v>34.5</v>
      </c>
      <c r="AF9">
        <v>28.2</v>
      </c>
      <c r="AG9">
        <v>35.4</v>
      </c>
      <c r="AH9">
        <v>36.6</v>
      </c>
      <c r="AI9">
        <v>2.1</v>
      </c>
      <c r="AJ9">
        <v>1.4</v>
      </c>
      <c r="AK9">
        <v>10.8</v>
      </c>
      <c r="AL9">
        <v>7.3</v>
      </c>
      <c r="AM9">
        <v>1283.7</v>
      </c>
      <c r="AN9">
        <v>990.4</v>
      </c>
      <c r="AO9">
        <v>5.7</v>
      </c>
      <c r="AP9">
        <v>5.7</v>
      </c>
      <c r="AQ9">
        <v>10</v>
      </c>
      <c r="AR9">
        <v>9.9</v>
      </c>
      <c r="AS9">
        <v>50.1</v>
      </c>
      <c r="AT9">
        <v>21.7</v>
      </c>
      <c r="AU9">
        <v>23</v>
      </c>
      <c r="AV9">
        <v>21</v>
      </c>
      <c r="AW9">
        <v>10</v>
      </c>
      <c r="AX9">
        <v>320</v>
      </c>
    </row>
    <row r="10" spans="1:50">
      <c r="A10">
        <v>135</v>
      </c>
      <c r="B10">
        <v>1</v>
      </c>
      <c r="C10">
        <v>0</v>
      </c>
      <c r="D10">
        <v>28.9</v>
      </c>
      <c r="E10">
        <v>28.9</v>
      </c>
      <c r="F10">
        <v>28.9</v>
      </c>
      <c r="G10">
        <v>28.9</v>
      </c>
      <c r="H10">
        <v>28.9</v>
      </c>
      <c r="I10">
        <v>28.8</v>
      </c>
      <c r="J10">
        <v>28.9</v>
      </c>
      <c r="K10">
        <v>28.9</v>
      </c>
      <c r="L10">
        <v>28</v>
      </c>
      <c r="M10">
        <v>26.1</v>
      </c>
      <c r="N10">
        <v>26.3</v>
      </c>
      <c r="O10">
        <v>36.799999999999997</v>
      </c>
      <c r="P10">
        <v>36.4</v>
      </c>
      <c r="Q10">
        <v>34.5</v>
      </c>
      <c r="R10">
        <v>34.5</v>
      </c>
      <c r="S10">
        <v>21.5</v>
      </c>
      <c r="T10">
        <v>0.1</v>
      </c>
      <c r="U10">
        <v>35.4</v>
      </c>
      <c r="V10">
        <v>35.5</v>
      </c>
      <c r="W10">
        <v>34</v>
      </c>
      <c r="X10">
        <v>28.1</v>
      </c>
      <c r="Y10">
        <v>28.3</v>
      </c>
      <c r="Z10">
        <v>28.9</v>
      </c>
      <c r="AA10">
        <v>28.9</v>
      </c>
      <c r="AB10">
        <v>28.9</v>
      </c>
      <c r="AC10">
        <v>28.9</v>
      </c>
      <c r="AD10">
        <v>26.2</v>
      </c>
      <c r="AE10">
        <v>34.5</v>
      </c>
      <c r="AF10">
        <v>28.2</v>
      </c>
      <c r="AG10">
        <v>35.4</v>
      </c>
      <c r="AH10">
        <v>36.6</v>
      </c>
      <c r="AI10">
        <v>2.1</v>
      </c>
      <c r="AJ10">
        <v>1.4</v>
      </c>
      <c r="AK10">
        <v>10.8</v>
      </c>
      <c r="AL10">
        <v>7.3</v>
      </c>
      <c r="AM10">
        <v>1283.7</v>
      </c>
      <c r="AN10">
        <v>990.4</v>
      </c>
      <c r="AO10">
        <v>5.7</v>
      </c>
      <c r="AP10">
        <v>5.7</v>
      </c>
      <c r="AQ10">
        <v>10</v>
      </c>
      <c r="AR10">
        <v>9.9</v>
      </c>
      <c r="AS10">
        <v>50.1</v>
      </c>
      <c r="AT10">
        <v>21.7</v>
      </c>
      <c r="AU10">
        <v>23</v>
      </c>
      <c r="AV10">
        <v>22</v>
      </c>
      <c r="AW10">
        <v>10</v>
      </c>
      <c r="AX10">
        <v>320</v>
      </c>
    </row>
    <row r="11" spans="1:50">
      <c r="A11">
        <v>135</v>
      </c>
      <c r="B11">
        <v>1</v>
      </c>
      <c r="C11">
        <v>0</v>
      </c>
      <c r="D11">
        <v>28.9</v>
      </c>
      <c r="E11">
        <v>28.9</v>
      </c>
      <c r="F11">
        <v>28.9</v>
      </c>
      <c r="G11">
        <v>28.9</v>
      </c>
      <c r="H11">
        <v>28.9</v>
      </c>
      <c r="I11">
        <v>28.8</v>
      </c>
      <c r="J11">
        <v>28.9</v>
      </c>
      <c r="K11">
        <v>28.9</v>
      </c>
      <c r="L11">
        <v>28</v>
      </c>
      <c r="M11">
        <v>26.1</v>
      </c>
      <c r="N11">
        <v>26.3</v>
      </c>
      <c r="O11">
        <v>36.799999999999997</v>
      </c>
      <c r="P11">
        <v>36.4</v>
      </c>
      <c r="Q11">
        <v>34.5</v>
      </c>
      <c r="R11">
        <v>34.5</v>
      </c>
      <c r="S11">
        <v>21.5</v>
      </c>
      <c r="T11">
        <v>0.1</v>
      </c>
      <c r="U11">
        <v>35.4</v>
      </c>
      <c r="V11">
        <v>35.5</v>
      </c>
      <c r="W11">
        <v>34</v>
      </c>
      <c r="X11">
        <v>28.1</v>
      </c>
      <c r="Y11">
        <v>28.3</v>
      </c>
      <c r="Z11">
        <v>28.9</v>
      </c>
      <c r="AA11">
        <v>28.9</v>
      </c>
      <c r="AB11">
        <v>28.9</v>
      </c>
      <c r="AC11">
        <v>28.9</v>
      </c>
      <c r="AD11">
        <v>26.2</v>
      </c>
      <c r="AE11">
        <v>34.5</v>
      </c>
      <c r="AF11">
        <v>28.2</v>
      </c>
      <c r="AG11">
        <v>35.4</v>
      </c>
      <c r="AH11">
        <v>36.6</v>
      </c>
      <c r="AI11">
        <v>2.1</v>
      </c>
      <c r="AJ11">
        <v>1.4</v>
      </c>
      <c r="AK11">
        <v>10.8</v>
      </c>
      <c r="AL11">
        <v>7.3</v>
      </c>
      <c r="AM11">
        <v>1283.7</v>
      </c>
      <c r="AN11">
        <v>990.4</v>
      </c>
      <c r="AO11">
        <v>5.7</v>
      </c>
      <c r="AP11">
        <v>5.7</v>
      </c>
      <c r="AQ11">
        <v>10</v>
      </c>
      <c r="AR11">
        <v>9.9</v>
      </c>
      <c r="AS11">
        <v>50.1</v>
      </c>
      <c r="AT11">
        <v>21.7</v>
      </c>
      <c r="AU11">
        <v>23</v>
      </c>
      <c r="AV11">
        <v>22</v>
      </c>
      <c r="AW11">
        <v>25</v>
      </c>
      <c r="AX11">
        <v>320</v>
      </c>
    </row>
    <row r="12" spans="1:50">
      <c r="A12">
        <v>195</v>
      </c>
      <c r="B12">
        <v>1</v>
      </c>
      <c r="C12">
        <v>0</v>
      </c>
      <c r="D12">
        <v>29.1</v>
      </c>
      <c r="E12">
        <v>29.1</v>
      </c>
      <c r="F12">
        <v>29.2</v>
      </c>
      <c r="G12">
        <v>29.2</v>
      </c>
      <c r="H12">
        <v>29.2</v>
      </c>
      <c r="I12">
        <v>29.1</v>
      </c>
      <c r="J12">
        <v>29.2</v>
      </c>
      <c r="K12">
        <v>29.2</v>
      </c>
      <c r="L12">
        <v>28.1</v>
      </c>
      <c r="M12">
        <v>24.9</v>
      </c>
      <c r="N12">
        <v>25</v>
      </c>
      <c r="O12">
        <v>50</v>
      </c>
      <c r="P12">
        <v>49.8</v>
      </c>
      <c r="Q12">
        <v>46.7</v>
      </c>
      <c r="R12">
        <v>46.9</v>
      </c>
      <c r="S12">
        <v>16.100000000000001</v>
      </c>
      <c r="T12">
        <v>0.1</v>
      </c>
      <c r="U12">
        <v>46</v>
      </c>
      <c r="V12">
        <v>46</v>
      </c>
      <c r="W12">
        <v>43.7</v>
      </c>
      <c r="X12">
        <v>29.8</v>
      </c>
      <c r="Y12">
        <v>29.8</v>
      </c>
      <c r="Z12">
        <v>29.1</v>
      </c>
      <c r="AA12">
        <v>29.2</v>
      </c>
      <c r="AB12">
        <v>29.1</v>
      </c>
      <c r="AC12">
        <v>29.2</v>
      </c>
      <c r="AD12">
        <v>24.9</v>
      </c>
      <c r="AE12">
        <v>46.8</v>
      </c>
      <c r="AF12">
        <v>29.8</v>
      </c>
      <c r="AG12">
        <v>46</v>
      </c>
      <c r="AH12">
        <v>49.9</v>
      </c>
      <c r="AI12">
        <v>3.1</v>
      </c>
      <c r="AJ12">
        <v>2.2999999999999998</v>
      </c>
      <c r="AK12">
        <v>24.4</v>
      </c>
      <c r="AL12">
        <v>16.2</v>
      </c>
      <c r="AM12">
        <v>1750.9</v>
      </c>
      <c r="AN12">
        <v>1469.1</v>
      </c>
      <c r="AO12">
        <v>8.5</v>
      </c>
      <c r="AP12">
        <v>8.5</v>
      </c>
      <c r="AQ12">
        <v>10</v>
      </c>
      <c r="AR12">
        <v>9.9</v>
      </c>
      <c r="AS12">
        <v>50.5</v>
      </c>
      <c r="AT12">
        <v>21.7</v>
      </c>
      <c r="AU12">
        <v>23</v>
      </c>
      <c r="AV12">
        <v>22</v>
      </c>
      <c r="AW12">
        <v>25</v>
      </c>
      <c r="AX12">
        <v>480</v>
      </c>
    </row>
    <row r="13" spans="1:50">
      <c r="A13">
        <v>195</v>
      </c>
      <c r="B13">
        <v>1</v>
      </c>
      <c r="C13">
        <v>0</v>
      </c>
      <c r="D13">
        <v>29.1</v>
      </c>
      <c r="E13">
        <v>29.1</v>
      </c>
      <c r="F13">
        <v>29.2</v>
      </c>
      <c r="G13">
        <v>29.2</v>
      </c>
      <c r="H13">
        <v>29.2</v>
      </c>
      <c r="I13">
        <v>29.1</v>
      </c>
      <c r="J13">
        <v>29.2</v>
      </c>
      <c r="K13">
        <v>29.2</v>
      </c>
      <c r="L13">
        <v>28.1</v>
      </c>
      <c r="M13">
        <v>24.9</v>
      </c>
      <c r="N13">
        <v>25</v>
      </c>
      <c r="O13">
        <v>50</v>
      </c>
      <c r="P13">
        <v>49.8</v>
      </c>
      <c r="Q13">
        <v>46.7</v>
      </c>
      <c r="R13">
        <v>46.9</v>
      </c>
      <c r="S13">
        <v>16.100000000000001</v>
      </c>
      <c r="T13">
        <v>0.1</v>
      </c>
      <c r="U13">
        <v>46</v>
      </c>
      <c r="V13">
        <v>46</v>
      </c>
      <c r="W13">
        <v>43.7</v>
      </c>
      <c r="X13">
        <v>29.8</v>
      </c>
      <c r="Y13">
        <v>29.8</v>
      </c>
      <c r="Z13">
        <v>29.1</v>
      </c>
      <c r="AA13">
        <v>29.2</v>
      </c>
      <c r="AB13">
        <v>29.1</v>
      </c>
      <c r="AC13">
        <v>29.2</v>
      </c>
      <c r="AD13">
        <v>24.9</v>
      </c>
      <c r="AE13">
        <v>46.8</v>
      </c>
      <c r="AF13">
        <v>29.8</v>
      </c>
      <c r="AG13">
        <v>46</v>
      </c>
      <c r="AH13">
        <v>49.9</v>
      </c>
      <c r="AI13">
        <v>3.1</v>
      </c>
      <c r="AJ13">
        <v>2.2999999999999998</v>
      </c>
      <c r="AK13">
        <v>24.4</v>
      </c>
      <c r="AL13">
        <v>16.2</v>
      </c>
      <c r="AM13">
        <v>1750.9</v>
      </c>
      <c r="AN13">
        <v>1469.1</v>
      </c>
      <c r="AO13">
        <v>8.5</v>
      </c>
      <c r="AP13">
        <v>8.5</v>
      </c>
      <c r="AQ13">
        <v>10</v>
      </c>
      <c r="AR13">
        <v>9.9</v>
      </c>
      <c r="AS13">
        <v>50.5</v>
      </c>
      <c r="AT13">
        <v>21.7</v>
      </c>
      <c r="AU13">
        <v>23</v>
      </c>
      <c r="AV13">
        <v>23</v>
      </c>
      <c r="AW13">
        <v>25</v>
      </c>
      <c r="AX13">
        <v>480</v>
      </c>
    </row>
    <row r="14" spans="1:50">
      <c r="A14">
        <v>195</v>
      </c>
      <c r="B14">
        <v>1</v>
      </c>
      <c r="C14">
        <v>0</v>
      </c>
      <c r="D14">
        <v>29.1</v>
      </c>
      <c r="E14">
        <v>29.1</v>
      </c>
      <c r="F14">
        <v>29.2</v>
      </c>
      <c r="G14">
        <v>29.2</v>
      </c>
      <c r="H14">
        <v>29.2</v>
      </c>
      <c r="I14">
        <v>29.1</v>
      </c>
      <c r="J14">
        <v>29.2</v>
      </c>
      <c r="K14">
        <v>29.2</v>
      </c>
      <c r="L14">
        <v>28.1</v>
      </c>
      <c r="M14">
        <v>24.9</v>
      </c>
      <c r="N14">
        <v>25</v>
      </c>
      <c r="O14">
        <v>50</v>
      </c>
      <c r="P14">
        <v>49.8</v>
      </c>
      <c r="Q14">
        <v>46.7</v>
      </c>
      <c r="R14">
        <v>46.9</v>
      </c>
      <c r="S14">
        <v>16.100000000000001</v>
      </c>
      <c r="T14">
        <v>0.1</v>
      </c>
      <c r="U14">
        <v>46</v>
      </c>
      <c r="V14">
        <v>46</v>
      </c>
      <c r="W14">
        <v>43.7</v>
      </c>
      <c r="X14">
        <v>29.8</v>
      </c>
      <c r="Y14">
        <v>29.8</v>
      </c>
      <c r="Z14">
        <v>29.1</v>
      </c>
      <c r="AA14">
        <v>29.2</v>
      </c>
      <c r="AB14">
        <v>29.1</v>
      </c>
      <c r="AC14">
        <v>29.2</v>
      </c>
      <c r="AD14">
        <v>24.9</v>
      </c>
      <c r="AE14">
        <v>46.8</v>
      </c>
      <c r="AF14">
        <v>29.8</v>
      </c>
      <c r="AG14">
        <v>46</v>
      </c>
      <c r="AH14">
        <v>49.9</v>
      </c>
      <c r="AI14">
        <v>3.1</v>
      </c>
      <c r="AJ14">
        <v>2.2999999999999998</v>
      </c>
      <c r="AK14">
        <v>24.4</v>
      </c>
      <c r="AL14">
        <v>16.2</v>
      </c>
      <c r="AM14">
        <v>1750.9</v>
      </c>
      <c r="AN14">
        <v>1469.1</v>
      </c>
      <c r="AO14">
        <v>8.5</v>
      </c>
      <c r="AP14">
        <v>8.5</v>
      </c>
      <c r="AQ14">
        <v>10</v>
      </c>
      <c r="AR14">
        <v>9.9</v>
      </c>
      <c r="AS14">
        <v>50.5</v>
      </c>
      <c r="AT14">
        <v>21.7</v>
      </c>
      <c r="AU14">
        <v>23</v>
      </c>
      <c r="AV14">
        <v>23</v>
      </c>
      <c r="AW14">
        <v>33</v>
      </c>
      <c r="AX14">
        <v>480</v>
      </c>
    </row>
    <row r="15" spans="1:50">
      <c r="A15">
        <v>255</v>
      </c>
      <c r="B15">
        <v>1</v>
      </c>
      <c r="C15">
        <v>0</v>
      </c>
      <c r="D15">
        <v>29.7</v>
      </c>
      <c r="E15">
        <v>29.6</v>
      </c>
      <c r="F15">
        <v>29.7</v>
      </c>
      <c r="G15">
        <v>29.8</v>
      </c>
      <c r="H15">
        <v>29.7</v>
      </c>
      <c r="I15">
        <v>29.6</v>
      </c>
      <c r="J15">
        <v>29.8</v>
      </c>
      <c r="K15">
        <v>29.7</v>
      </c>
      <c r="L15">
        <v>28.4</v>
      </c>
      <c r="M15">
        <v>24.6</v>
      </c>
      <c r="N15">
        <v>24.8</v>
      </c>
      <c r="O15">
        <v>58.7</v>
      </c>
      <c r="P15">
        <v>58.6</v>
      </c>
      <c r="Q15">
        <v>54.8</v>
      </c>
      <c r="R15">
        <v>54.8</v>
      </c>
      <c r="S15">
        <v>13.2</v>
      </c>
      <c r="T15">
        <v>0.1</v>
      </c>
      <c r="U15">
        <v>53</v>
      </c>
      <c r="V15">
        <v>53.1</v>
      </c>
      <c r="W15">
        <v>50.1</v>
      </c>
      <c r="X15">
        <v>31.4</v>
      </c>
      <c r="Y15">
        <v>31.3</v>
      </c>
      <c r="Z15">
        <v>29.6</v>
      </c>
      <c r="AA15">
        <v>29.7</v>
      </c>
      <c r="AB15">
        <v>29.7</v>
      </c>
      <c r="AC15">
        <v>29.7</v>
      </c>
      <c r="AD15">
        <v>24.7</v>
      </c>
      <c r="AE15">
        <v>54.8</v>
      </c>
      <c r="AF15">
        <v>31.3</v>
      </c>
      <c r="AG15">
        <v>53</v>
      </c>
      <c r="AH15">
        <v>58.6</v>
      </c>
      <c r="AI15">
        <v>3.8</v>
      </c>
      <c r="AJ15">
        <v>2.9</v>
      </c>
      <c r="AK15">
        <v>32.6</v>
      </c>
      <c r="AL15">
        <v>21.7</v>
      </c>
      <c r="AM15">
        <v>1901.8</v>
      </c>
      <c r="AN15">
        <v>1660.3</v>
      </c>
      <c r="AO15">
        <v>9.9</v>
      </c>
      <c r="AP15">
        <v>9.9</v>
      </c>
      <c r="AQ15">
        <v>10</v>
      </c>
      <c r="AR15">
        <v>9.9</v>
      </c>
      <c r="AS15">
        <v>50.8</v>
      </c>
      <c r="AT15">
        <v>21.6</v>
      </c>
      <c r="AU15">
        <v>23</v>
      </c>
      <c r="AV15">
        <v>23</v>
      </c>
      <c r="AW15">
        <v>33</v>
      </c>
      <c r="AX15">
        <v>560</v>
      </c>
    </row>
    <row r="16" spans="1:50">
      <c r="A16">
        <v>255</v>
      </c>
      <c r="B16">
        <v>1</v>
      </c>
      <c r="C16">
        <v>0</v>
      </c>
      <c r="D16">
        <v>29.7</v>
      </c>
      <c r="E16">
        <v>29.6</v>
      </c>
      <c r="F16">
        <v>29.7</v>
      </c>
      <c r="G16">
        <v>29.8</v>
      </c>
      <c r="H16">
        <v>29.7</v>
      </c>
      <c r="I16">
        <v>29.6</v>
      </c>
      <c r="J16">
        <v>29.8</v>
      </c>
      <c r="K16">
        <v>29.7</v>
      </c>
      <c r="L16">
        <v>28.4</v>
      </c>
      <c r="M16">
        <v>24.6</v>
      </c>
      <c r="N16">
        <v>24.8</v>
      </c>
      <c r="O16">
        <v>58.7</v>
      </c>
      <c r="P16">
        <v>58.6</v>
      </c>
      <c r="Q16">
        <v>54.8</v>
      </c>
      <c r="R16">
        <v>54.8</v>
      </c>
      <c r="S16">
        <v>13.2</v>
      </c>
      <c r="T16">
        <v>0.1</v>
      </c>
      <c r="U16">
        <v>53</v>
      </c>
      <c r="V16">
        <v>53.1</v>
      </c>
      <c r="W16">
        <v>50.1</v>
      </c>
      <c r="X16">
        <v>31.4</v>
      </c>
      <c r="Y16">
        <v>31.3</v>
      </c>
      <c r="Z16">
        <v>29.6</v>
      </c>
      <c r="AA16">
        <v>29.7</v>
      </c>
      <c r="AB16">
        <v>29.7</v>
      </c>
      <c r="AC16">
        <v>29.7</v>
      </c>
      <c r="AD16">
        <v>24.7</v>
      </c>
      <c r="AE16">
        <v>54.8</v>
      </c>
      <c r="AF16">
        <v>31.3</v>
      </c>
      <c r="AG16">
        <v>53</v>
      </c>
      <c r="AH16">
        <v>58.6</v>
      </c>
      <c r="AI16">
        <v>3.8</v>
      </c>
      <c r="AJ16">
        <v>2.9</v>
      </c>
      <c r="AK16">
        <v>32.6</v>
      </c>
      <c r="AL16">
        <v>21.7</v>
      </c>
      <c r="AM16">
        <v>1901.8</v>
      </c>
      <c r="AN16">
        <v>1660.3</v>
      </c>
      <c r="AO16">
        <v>9.9</v>
      </c>
      <c r="AP16">
        <v>9.9</v>
      </c>
      <c r="AQ16">
        <v>10</v>
      </c>
      <c r="AR16">
        <v>9.9</v>
      </c>
      <c r="AS16">
        <v>50.8</v>
      </c>
      <c r="AT16">
        <v>21.6</v>
      </c>
      <c r="AU16">
        <v>23</v>
      </c>
      <c r="AV16">
        <v>23</v>
      </c>
      <c r="AW16">
        <v>33</v>
      </c>
      <c r="AX16">
        <v>560</v>
      </c>
    </row>
    <row r="17" spans="1:50">
      <c r="A17">
        <v>255</v>
      </c>
      <c r="B17">
        <v>1</v>
      </c>
      <c r="C17">
        <v>0</v>
      </c>
      <c r="D17">
        <v>29.7</v>
      </c>
      <c r="E17">
        <v>29.6</v>
      </c>
      <c r="F17">
        <v>29.7</v>
      </c>
      <c r="G17">
        <v>29.8</v>
      </c>
      <c r="H17">
        <v>29.7</v>
      </c>
      <c r="I17">
        <v>29.6</v>
      </c>
      <c r="J17">
        <v>29.8</v>
      </c>
      <c r="K17">
        <v>29.7</v>
      </c>
      <c r="L17">
        <v>28.4</v>
      </c>
      <c r="M17">
        <v>24.6</v>
      </c>
      <c r="N17">
        <v>24.8</v>
      </c>
      <c r="O17">
        <v>58.7</v>
      </c>
      <c r="P17">
        <v>58.6</v>
      </c>
      <c r="Q17">
        <v>54.8</v>
      </c>
      <c r="R17">
        <v>54.8</v>
      </c>
      <c r="S17">
        <v>13.2</v>
      </c>
      <c r="T17">
        <v>0.1</v>
      </c>
      <c r="U17">
        <v>53</v>
      </c>
      <c r="V17">
        <v>53.1</v>
      </c>
      <c r="W17">
        <v>50.2</v>
      </c>
      <c r="X17">
        <v>31.4</v>
      </c>
      <c r="Y17">
        <v>31.3</v>
      </c>
      <c r="Z17">
        <v>29.7</v>
      </c>
      <c r="AA17">
        <v>29.7</v>
      </c>
      <c r="AB17">
        <v>29.7</v>
      </c>
      <c r="AC17">
        <v>29.7</v>
      </c>
      <c r="AD17">
        <v>24.6</v>
      </c>
      <c r="AE17">
        <v>55.3</v>
      </c>
      <c r="AF17">
        <v>31.3</v>
      </c>
      <c r="AG17">
        <v>53.1</v>
      </c>
      <c r="AH17">
        <v>58.8</v>
      </c>
      <c r="AI17">
        <v>3.5</v>
      </c>
      <c r="AJ17">
        <v>2.9</v>
      </c>
      <c r="AK17">
        <v>33.1</v>
      </c>
      <c r="AL17">
        <v>21.8</v>
      </c>
      <c r="AM17">
        <v>1901.8</v>
      </c>
      <c r="AN17">
        <v>1660.3</v>
      </c>
      <c r="AO17">
        <v>9.9</v>
      </c>
      <c r="AP17">
        <v>9.9</v>
      </c>
      <c r="AQ17">
        <v>10</v>
      </c>
      <c r="AR17">
        <v>9.9</v>
      </c>
      <c r="AS17">
        <v>50.8</v>
      </c>
      <c r="AT17">
        <v>21.6</v>
      </c>
      <c r="AU17">
        <v>23</v>
      </c>
      <c r="AV17">
        <v>23</v>
      </c>
      <c r="AW17">
        <v>15</v>
      </c>
      <c r="AX17">
        <v>560</v>
      </c>
    </row>
    <row r="18" spans="1:50">
      <c r="A18">
        <v>315</v>
      </c>
      <c r="B18">
        <v>1</v>
      </c>
      <c r="C18">
        <v>0</v>
      </c>
      <c r="D18">
        <v>29.9</v>
      </c>
      <c r="E18">
        <v>29.9</v>
      </c>
      <c r="F18">
        <v>29.9</v>
      </c>
      <c r="G18">
        <v>30.1</v>
      </c>
      <c r="H18">
        <v>30</v>
      </c>
      <c r="I18">
        <v>29.9</v>
      </c>
      <c r="J18">
        <v>30</v>
      </c>
      <c r="K18">
        <v>29.9</v>
      </c>
      <c r="L18">
        <v>28.7</v>
      </c>
      <c r="M18">
        <v>25.6</v>
      </c>
      <c r="N18">
        <v>25.7</v>
      </c>
      <c r="O18">
        <v>41.6</v>
      </c>
      <c r="P18">
        <v>41.3</v>
      </c>
      <c r="Q18">
        <v>39</v>
      </c>
      <c r="R18">
        <v>39</v>
      </c>
      <c r="S18">
        <v>19.600000000000001</v>
      </c>
      <c r="T18">
        <v>0.1</v>
      </c>
      <c r="U18">
        <v>39.299999999999997</v>
      </c>
      <c r="V18">
        <v>39.299999999999997</v>
      </c>
      <c r="W18">
        <v>37.5</v>
      </c>
      <c r="X18">
        <v>28.6</v>
      </c>
      <c r="Y18">
        <v>28.7</v>
      </c>
      <c r="Z18">
        <v>29.9</v>
      </c>
      <c r="AA18">
        <v>30</v>
      </c>
      <c r="AB18">
        <v>29.9</v>
      </c>
      <c r="AC18">
        <v>29.9</v>
      </c>
      <c r="AD18">
        <v>25.7</v>
      </c>
      <c r="AE18">
        <v>39</v>
      </c>
      <c r="AF18">
        <v>28.7</v>
      </c>
      <c r="AG18">
        <v>39.299999999999997</v>
      </c>
      <c r="AH18">
        <v>41.4</v>
      </c>
      <c r="AI18">
        <v>2.4</v>
      </c>
      <c r="AJ18">
        <v>1.8</v>
      </c>
      <c r="AK18">
        <v>15.9</v>
      </c>
      <c r="AL18">
        <v>10.6</v>
      </c>
      <c r="AM18">
        <v>1479.2</v>
      </c>
      <c r="AN18">
        <v>1211.8</v>
      </c>
      <c r="AO18">
        <v>6.9</v>
      </c>
      <c r="AP18">
        <v>6.9</v>
      </c>
      <c r="AQ18">
        <v>10</v>
      </c>
      <c r="AR18">
        <v>9.9</v>
      </c>
      <c r="AS18">
        <v>51.2</v>
      </c>
      <c r="AT18">
        <v>21.5</v>
      </c>
      <c r="AU18">
        <v>23</v>
      </c>
      <c r="AV18">
        <v>23</v>
      </c>
      <c r="AW18">
        <v>15</v>
      </c>
      <c r="AX18">
        <v>380</v>
      </c>
    </row>
    <row r="19" spans="1:50">
      <c r="A19">
        <v>315</v>
      </c>
      <c r="B19">
        <v>1</v>
      </c>
      <c r="C19">
        <v>0</v>
      </c>
      <c r="D19">
        <v>29.9</v>
      </c>
      <c r="E19">
        <v>29.9</v>
      </c>
      <c r="F19">
        <v>29.9</v>
      </c>
      <c r="G19">
        <v>30.1</v>
      </c>
      <c r="H19">
        <v>30</v>
      </c>
      <c r="I19">
        <v>29.9</v>
      </c>
      <c r="J19">
        <v>30</v>
      </c>
      <c r="K19">
        <v>29.9</v>
      </c>
      <c r="L19">
        <v>28.7</v>
      </c>
      <c r="M19">
        <v>25.6</v>
      </c>
      <c r="N19">
        <v>25.7</v>
      </c>
      <c r="O19">
        <v>41.6</v>
      </c>
      <c r="P19">
        <v>41.3</v>
      </c>
      <c r="Q19">
        <v>39</v>
      </c>
      <c r="R19">
        <v>39</v>
      </c>
      <c r="S19">
        <v>19.600000000000001</v>
      </c>
      <c r="T19">
        <v>0.1</v>
      </c>
      <c r="U19">
        <v>39.299999999999997</v>
      </c>
      <c r="V19">
        <v>39.299999999999997</v>
      </c>
      <c r="W19">
        <v>37.5</v>
      </c>
      <c r="X19">
        <v>28.6</v>
      </c>
      <c r="Y19">
        <v>28.7</v>
      </c>
      <c r="Z19">
        <v>29.9</v>
      </c>
      <c r="AA19">
        <v>30</v>
      </c>
      <c r="AB19">
        <v>29.9</v>
      </c>
      <c r="AC19">
        <v>29.9</v>
      </c>
      <c r="AD19">
        <v>25.7</v>
      </c>
      <c r="AE19">
        <v>39</v>
      </c>
      <c r="AF19">
        <v>28.7</v>
      </c>
      <c r="AG19">
        <v>39.299999999999997</v>
      </c>
      <c r="AH19">
        <v>41.4</v>
      </c>
      <c r="AI19">
        <v>2.4</v>
      </c>
      <c r="AJ19">
        <v>1.8</v>
      </c>
      <c r="AK19">
        <v>15.9</v>
      </c>
      <c r="AL19">
        <v>10.6</v>
      </c>
      <c r="AM19">
        <v>1479.2</v>
      </c>
      <c r="AN19">
        <v>1211.8</v>
      </c>
      <c r="AO19">
        <v>6.9</v>
      </c>
      <c r="AP19">
        <v>6.9</v>
      </c>
      <c r="AQ19">
        <v>10</v>
      </c>
      <c r="AR19">
        <v>9.9</v>
      </c>
      <c r="AS19">
        <v>51.2</v>
      </c>
      <c r="AT19">
        <v>21.5</v>
      </c>
      <c r="AU19">
        <v>23</v>
      </c>
      <c r="AV19">
        <v>24</v>
      </c>
      <c r="AW19">
        <v>15</v>
      </c>
      <c r="AX19">
        <v>380</v>
      </c>
    </row>
    <row r="20" spans="1:50">
      <c r="A20">
        <v>315</v>
      </c>
      <c r="B20">
        <v>1</v>
      </c>
      <c r="C20">
        <v>0</v>
      </c>
      <c r="D20">
        <v>29.9</v>
      </c>
      <c r="E20">
        <v>29.9</v>
      </c>
      <c r="F20">
        <v>29.9</v>
      </c>
      <c r="G20">
        <v>30.1</v>
      </c>
      <c r="H20">
        <v>30</v>
      </c>
      <c r="I20">
        <v>29.9</v>
      </c>
      <c r="J20">
        <v>30</v>
      </c>
      <c r="K20">
        <v>29.9</v>
      </c>
      <c r="L20">
        <v>28.7</v>
      </c>
      <c r="M20">
        <v>25.6</v>
      </c>
      <c r="N20">
        <v>25.7</v>
      </c>
      <c r="O20">
        <v>41.6</v>
      </c>
      <c r="P20">
        <v>41.3</v>
      </c>
      <c r="Q20">
        <v>39</v>
      </c>
      <c r="R20">
        <v>39</v>
      </c>
      <c r="S20">
        <v>19.600000000000001</v>
      </c>
      <c r="T20">
        <v>0.1</v>
      </c>
      <c r="U20">
        <v>39.299999999999997</v>
      </c>
      <c r="V20">
        <v>39.299999999999997</v>
      </c>
      <c r="W20">
        <v>37.5</v>
      </c>
      <c r="X20">
        <v>28.6</v>
      </c>
      <c r="Y20">
        <v>28.7</v>
      </c>
      <c r="Z20">
        <v>29.9</v>
      </c>
      <c r="AA20">
        <v>30</v>
      </c>
      <c r="AB20">
        <v>29.9</v>
      </c>
      <c r="AC20">
        <v>29.9</v>
      </c>
      <c r="AD20">
        <v>25.7</v>
      </c>
      <c r="AE20">
        <v>39</v>
      </c>
      <c r="AF20">
        <v>28.7</v>
      </c>
      <c r="AG20">
        <v>39.299999999999997</v>
      </c>
      <c r="AH20">
        <v>41.4</v>
      </c>
      <c r="AI20">
        <v>2.4</v>
      </c>
      <c r="AJ20">
        <v>1.8</v>
      </c>
      <c r="AK20">
        <v>15.9</v>
      </c>
      <c r="AL20">
        <v>10.6</v>
      </c>
      <c r="AM20">
        <v>1479.2</v>
      </c>
      <c r="AN20">
        <v>1211.8</v>
      </c>
      <c r="AO20">
        <v>6.9</v>
      </c>
      <c r="AP20">
        <v>6.9</v>
      </c>
      <c r="AQ20">
        <v>10</v>
      </c>
      <c r="AR20">
        <v>9.9</v>
      </c>
      <c r="AS20">
        <v>51.2</v>
      </c>
      <c r="AT20">
        <v>21.5</v>
      </c>
      <c r="AU20">
        <v>23</v>
      </c>
      <c r="AV20">
        <v>24</v>
      </c>
      <c r="AW20">
        <v>20</v>
      </c>
      <c r="AX20">
        <v>380</v>
      </c>
    </row>
    <row r="21" spans="1:50">
      <c r="A21">
        <v>375</v>
      </c>
      <c r="B21">
        <v>1</v>
      </c>
      <c r="C21">
        <v>0</v>
      </c>
      <c r="D21">
        <v>30.2</v>
      </c>
      <c r="E21">
        <v>30.2</v>
      </c>
      <c r="F21">
        <v>30.2</v>
      </c>
      <c r="G21">
        <v>30.3</v>
      </c>
      <c r="H21">
        <v>30.2</v>
      </c>
      <c r="I21">
        <v>30.1</v>
      </c>
      <c r="J21">
        <v>30.2</v>
      </c>
      <c r="K21">
        <v>30.2</v>
      </c>
      <c r="L21">
        <v>28.9</v>
      </c>
      <c r="M21">
        <v>25.4</v>
      </c>
      <c r="N21">
        <v>25.5</v>
      </c>
      <c r="O21">
        <v>45.8</v>
      </c>
      <c r="P21">
        <v>45.2</v>
      </c>
      <c r="Q21">
        <v>42.6</v>
      </c>
      <c r="R21">
        <v>42.6</v>
      </c>
      <c r="S21">
        <v>18.100000000000001</v>
      </c>
      <c r="T21">
        <v>0.1</v>
      </c>
      <c r="U21">
        <v>42.5</v>
      </c>
      <c r="V21">
        <v>42.5</v>
      </c>
      <c r="W21">
        <v>40.6</v>
      </c>
      <c r="X21">
        <v>29.3</v>
      </c>
      <c r="Y21">
        <v>29.3</v>
      </c>
      <c r="Z21">
        <v>30.2</v>
      </c>
      <c r="AA21">
        <v>30.2</v>
      </c>
      <c r="AB21">
        <v>30.2</v>
      </c>
      <c r="AC21">
        <v>30.2</v>
      </c>
      <c r="AD21">
        <v>25.4</v>
      </c>
      <c r="AE21">
        <v>42.6</v>
      </c>
      <c r="AF21">
        <v>29.3</v>
      </c>
      <c r="AG21">
        <v>42.5</v>
      </c>
      <c r="AH21">
        <v>45.5</v>
      </c>
      <c r="AI21">
        <v>2.9</v>
      </c>
      <c r="AJ21">
        <v>2</v>
      </c>
      <c r="AK21">
        <v>19.7</v>
      </c>
      <c r="AL21">
        <v>13.2</v>
      </c>
      <c r="AM21">
        <v>1579.8</v>
      </c>
      <c r="AN21">
        <v>1316.8</v>
      </c>
      <c r="AO21">
        <v>7.7</v>
      </c>
      <c r="AP21">
        <v>7.7</v>
      </c>
      <c r="AQ21">
        <v>10</v>
      </c>
      <c r="AR21">
        <v>9.9</v>
      </c>
      <c r="AS21">
        <v>51</v>
      </c>
      <c r="AT21">
        <v>21.5</v>
      </c>
      <c r="AU21">
        <v>23</v>
      </c>
      <c r="AV21">
        <v>24</v>
      </c>
      <c r="AW21">
        <v>20</v>
      </c>
      <c r="AX21">
        <v>430</v>
      </c>
    </row>
    <row r="22" spans="1:50">
      <c r="A22">
        <v>375</v>
      </c>
      <c r="B22">
        <v>1</v>
      </c>
      <c r="C22">
        <v>0</v>
      </c>
      <c r="D22">
        <v>30.2</v>
      </c>
      <c r="E22">
        <v>30.2</v>
      </c>
      <c r="F22">
        <v>30.2</v>
      </c>
      <c r="G22">
        <v>30.3</v>
      </c>
      <c r="H22">
        <v>30.2</v>
      </c>
      <c r="I22">
        <v>30.1</v>
      </c>
      <c r="J22">
        <v>30.2</v>
      </c>
      <c r="K22">
        <v>30.2</v>
      </c>
      <c r="L22">
        <v>29</v>
      </c>
      <c r="M22">
        <v>25.3</v>
      </c>
      <c r="N22">
        <v>25.5</v>
      </c>
      <c r="O22">
        <v>45.6</v>
      </c>
      <c r="P22">
        <v>45.4</v>
      </c>
      <c r="Q22">
        <v>42.7</v>
      </c>
      <c r="R22">
        <v>42.6</v>
      </c>
      <c r="S22">
        <v>18.2</v>
      </c>
      <c r="T22">
        <v>0.1</v>
      </c>
      <c r="U22">
        <v>42.5</v>
      </c>
      <c r="V22">
        <v>42.5</v>
      </c>
      <c r="W22">
        <v>40.5</v>
      </c>
      <c r="X22">
        <v>29.3</v>
      </c>
      <c r="Y22">
        <v>29.3</v>
      </c>
      <c r="Z22">
        <v>30.2</v>
      </c>
      <c r="AA22">
        <v>30.2</v>
      </c>
      <c r="AB22">
        <v>30.2</v>
      </c>
      <c r="AC22">
        <v>30.2</v>
      </c>
      <c r="AD22">
        <v>25.4</v>
      </c>
      <c r="AE22">
        <v>42.6</v>
      </c>
      <c r="AF22">
        <v>29.3</v>
      </c>
      <c r="AG22">
        <v>42.5</v>
      </c>
      <c r="AH22">
        <v>45.5</v>
      </c>
      <c r="AI22">
        <v>2.8</v>
      </c>
      <c r="AJ22">
        <v>2</v>
      </c>
      <c r="AK22">
        <v>19.7</v>
      </c>
      <c r="AL22">
        <v>13.2</v>
      </c>
      <c r="AM22">
        <v>1579.8</v>
      </c>
      <c r="AN22">
        <v>1319.6</v>
      </c>
      <c r="AO22">
        <v>7.7</v>
      </c>
      <c r="AP22">
        <v>7.7</v>
      </c>
      <c r="AQ22">
        <v>10</v>
      </c>
      <c r="AR22">
        <v>9.9</v>
      </c>
      <c r="AS22">
        <v>51.1</v>
      </c>
      <c r="AT22">
        <v>21.5</v>
      </c>
      <c r="AU22">
        <v>23</v>
      </c>
      <c r="AV22">
        <v>25</v>
      </c>
      <c r="AW22">
        <v>20</v>
      </c>
      <c r="AX22">
        <v>430</v>
      </c>
    </row>
    <row r="23" spans="1:50">
      <c r="A23">
        <v>375</v>
      </c>
      <c r="B23">
        <v>1</v>
      </c>
      <c r="C23">
        <v>0</v>
      </c>
      <c r="D23">
        <v>30.2</v>
      </c>
      <c r="E23">
        <v>30.2</v>
      </c>
      <c r="F23">
        <v>30.2</v>
      </c>
      <c r="G23">
        <v>30.3</v>
      </c>
      <c r="H23">
        <v>30.2</v>
      </c>
      <c r="I23">
        <v>30.1</v>
      </c>
      <c r="J23">
        <v>30.2</v>
      </c>
      <c r="K23">
        <v>30.2</v>
      </c>
      <c r="L23">
        <v>29</v>
      </c>
      <c r="M23">
        <v>25.3</v>
      </c>
      <c r="N23">
        <v>25.5</v>
      </c>
      <c r="O23">
        <v>45.6</v>
      </c>
      <c r="P23">
        <v>45.4</v>
      </c>
      <c r="Q23">
        <v>42.7</v>
      </c>
      <c r="R23">
        <v>42.6</v>
      </c>
      <c r="S23">
        <v>18.2</v>
      </c>
      <c r="T23">
        <v>0.1</v>
      </c>
      <c r="U23">
        <v>42.5</v>
      </c>
      <c r="V23">
        <v>42.5</v>
      </c>
      <c r="W23">
        <v>40.5</v>
      </c>
      <c r="X23">
        <v>29.3</v>
      </c>
      <c r="Y23">
        <v>29.3</v>
      </c>
      <c r="Z23">
        <v>30.2</v>
      </c>
      <c r="AA23">
        <v>30.2</v>
      </c>
      <c r="AB23">
        <v>30.2</v>
      </c>
      <c r="AC23">
        <v>30.2</v>
      </c>
      <c r="AD23">
        <v>25.4</v>
      </c>
      <c r="AE23">
        <v>42.6</v>
      </c>
      <c r="AF23">
        <v>29.3</v>
      </c>
      <c r="AG23">
        <v>42.5</v>
      </c>
      <c r="AH23">
        <v>45.5</v>
      </c>
      <c r="AI23">
        <v>2.8</v>
      </c>
      <c r="AJ23">
        <v>2</v>
      </c>
      <c r="AK23">
        <v>19.7</v>
      </c>
      <c r="AL23">
        <v>13.2</v>
      </c>
      <c r="AM23">
        <v>1579.8</v>
      </c>
      <c r="AN23">
        <v>1319.6</v>
      </c>
      <c r="AO23">
        <v>7.7</v>
      </c>
      <c r="AP23">
        <v>7.7</v>
      </c>
      <c r="AQ23">
        <v>10</v>
      </c>
      <c r="AR23">
        <v>9.9</v>
      </c>
      <c r="AS23">
        <v>51.1</v>
      </c>
      <c r="AT23">
        <v>21.5</v>
      </c>
      <c r="AU23">
        <v>23</v>
      </c>
      <c r="AV23">
        <v>25</v>
      </c>
      <c r="AW23">
        <v>25</v>
      </c>
      <c r="AX23">
        <v>430</v>
      </c>
    </row>
    <row r="24" spans="1:50">
      <c r="A24">
        <v>435</v>
      </c>
      <c r="B24">
        <v>1</v>
      </c>
      <c r="C24">
        <v>0</v>
      </c>
      <c r="D24">
        <v>30.5</v>
      </c>
      <c r="E24">
        <v>30.4</v>
      </c>
      <c r="F24">
        <v>30.6</v>
      </c>
      <c r="G24">
        <v>30.6</v>
      </c>
      <c r="H24">
        <v>30.6</v>
      </c>
      <c r="I24">
        <v>30.4</v>
      </c>
      <c r="J24">
        <v>30.6</v>
      </c>
      <c r="K24">
        <v>30.6</v>
      </c>
      <c r="L24">
        <v>29.2</v>
      </c>
      <c r="M24">
        <v>25.3</v>
      </c>
      <c r="N24">
        <v>25.4</v>
      </c>
      <c r="O24">
        <v>50.9</v>
      </c>
      <c r="P24">
        <v>50.7</v>
      </c>
      <c r="Q24">
        <v>47.7</v>
      </c>
      <c r="R24">
        <v>47.8</v>
      </c>
      <c r="S24">
        <v>16.600000000000001</v>
      </c>
      <c r="T24">
        <v>0.1</v>
      </c>
      <c r="U24">
        <v>46.9</v>
      </c>
      <c r="V24">
        <v>46.9</v>
      </c>
      <c r="W24">
        <v>44.5</v>
      </c>
      <c r="X24">
        <v>30.3</v>
      </c>
      <c r="Y24">
        <v>30.3</v>
      </c>
      <c r="Z24">
        <v>30.4</v>
      </c>
      <c r="AA24">
        <v>30.6</v>
      </c>
      <c r="AB24">
        <v>30.5</v>
      </c>
      <c r="AC24">
        <v>30.6</v>
      </c>
      <c r="AD24">
        <v>25.4</v>
      </c>
      <c r="AE24">
        <v>47.7</v>
      </c>
      <c r="AF24">
        <v>30.3</v>
      </c>
      <c r="AG24">
        <v>46.9</v>
      </c>
      <c r="AH24">
        <v>50.8</v>
      </c>
      <c r="AI24">
        <v>3.1</v>
      </c>
      <c r="AJ24">
        <v>2.4</v>
      </c>
      <c r="AK24">
        <v>24.9</v>
      </c>
      <c r="AL24">
        <v>16.600000000000001</v>
      </c>
      <c r="AM24">
        <v>1733.6</v>
      </c>
      <c r="AN24">
        <v>1469.1</v>
      </c>
      <c r="AO24">
        <v>8.6</v>
      </c>
      <c r="AP24">
        <v>8.6</v>
      </c>
      <c r="AQ24">
        <v>10</v>
      </c>
      <c r="AR24">
        <v>9.9</v>
      </c>
      <c r="AS24">
        <v>51</v>
      </c>
      <c r="AT24">
        <v>21.5</v>
      </c>
      <c r="AU24">
        <v>23</v>
      </c>
      <c r="AV24">
        <v>25</v>
      </c>
      <c r="AW24">
        <v>25</v>
      </c>
      <c r="AX24">
        <v>490</v>
      </c>
    </row>
    <row r="25" spans="1:50">
      <c r="A25">
        <v>435</v>
      </c>
      <c r="B25">
        <v>1</v>
      </c>
      <c r="C25">
        <v>0</v>
      </c>
      <c r="D25">
        <v>30.5</v>
      </c>
      <c r="E25">
        <v>30.4</v>
      </c>
      <c r="F25">
        <v>30.6</v>
      </c>
      <c r="G25">
        <v>30.6</v>
      </c>
      <c r="H25">
        <v>30.6</v>
      </c>
      <c r="I25">
        <v>30.4</v>
      </c>
      <c r="J25">
        <v>30.6</v>
      </c>
      <c r="K25">
        <v>30.6</v>
      </c>
      <c r="L25">
        <v>29.2</v>
      </c>
      <c r="M25">
        <v>25.3</v>
      </c>
      <c r="N25">
        <v>25.4</v>
      </c>
      <c r="O25">
        <v>50.9</v>
      </c>
      <c r="P25">
        <v>50.7</v>
      </c>
      <c r="Q25">
        <v>47.7</v>
      </c>
      <c r="R25">
        <v>47.8</v>
      </c>
      <c r="S25">
        <v>16.600000000000001</v>
      </c>
      <c r="T25">
        <v>0.1</v>
      </c>
      <c r="U25">
        <v>46.9</v>
      </c>
      <c r="V25">
        <v>46.9</v>
      </c>
      <c r="W25">
        <v>44.5</v>
      </c>
      <c r="X25">
        <v>30.3</v>
      </c>
      <c r="Y25">
        <v>30.3</v>
      </c>
      <c r="Z25">
        <v>30.4</v>
      </c>
      <c r="AA25">
        <v>30.6</v>
      </c>
      <c r="AB25">
        <v>30.5</v>
      </c>
      <c r="AC25">
        <v>30.6</v>
      </c>
      <c r="AD25">
        <v>25.4</v>
      </c>
      <c r="AE25">
        <v>47.7</v>
      </c>
      <c r="AF25">
        <v>30.3</v>
      </c>
      <c r="AG25">
        <v>46.9</v>
      </c>
      <c r="AH25">
        <v>50.8</v>
      </c>
      <c r="AI25">
        <v>3.1</v>
      </c>
      <c r="AJ25">
        <v>2.4</v>
      </c>
      <c r="AK25">
        <v>24.9</v>
      </c>
      <c r="AL25">
        <v>16.600000000000001</v>
      </c>
      <c r="AM25">
        <v>1733.6</v>
      </c>
      <c r="AN25">
        <v>1469.1</v>
      </c>
      <c r="AO25">
        <v>8.6</v>
      </c>
      <c r="AP25">
        <v>8.6</v>
      </c>
      <c r="AQ25">
        <v>10</v>
      </c>
      <c r="AR25">
        <v>9.9</v>
      </c>
      <c r="AS25">
        <v>51</v>
      </c>
      <c r="AT25">
        <v>21.5</v>
      </c>
      <c r="AU25">
        <v>23</v>
      </c>
      <c r="AV25">
        <v>27</v>
      </c>
      <c r="AW25">
        <v>25</v>
      </c>
      <c r="AX25">
        <v>490</v>
      </c>
    </row>
    <row r="26" spans="1:50">
      <c r="A26">
        <v>435</v>
      </c>
      <c r="B26">
        <v>1</v>
      </c>
      <c r="C26">
        <v>0</v>
      </c>
      <c r="D26">
        <v>30.5</v>
      </c>
      <c r="E26">
        <v>30.4</v>
      </c>
      <c r="F26">
        <v>30.6</v>
      </c>
      <c r="G26">
        <v>30.6</v>
      </c>
      <c r="H26">
        <v>30.6</v>
      </c>
      <c r="I26">
        <v>30.4</v>
      </c>
      <c r="J26">
        <v>30.6</v>
      </c>
      <c r="K26">
        <v>30.6</v>
      </c>
      <c r="L26">
        <v>29.2</v>
      </c>
      <c r="M26">
        <v>25.3</v>
      </c>
      <c r="N26">
        <v>25.4</v>
      </c>
      <c r="O26">
        <v>50.9</v>
      </c>
      <c r="P26">
        <v>50.7</v>
      </c>
      <c r="Q26">
        <v>47.7</v>
      </c>
      <c r="R26">
        <v>47.8</v>
      </c>
      <c r="S26">
        <v>16.600000000000001</v>
      </c>
      <c r="T26">
        <v>0.1</v>
      </c>
      <c r="U26">
        <v>46.9</v>
      </c>
      <c r="V26">
        <v>46.9</v>
      </c>
      <c r="W26">
        <v>44.5</v>
      </c>
      <c r="X26">
        <v>30.3</v>
      </c>
      <c r="Y26">
        <v>30.3</v>
      </c>
      <c r="Z26">
        <v>30.4</v>
      </c>
      <c r="AA26">
        <v>30.6</v>
      </c>
      <c r="AB26">
        <v>30.5</v>
      </c>
      <c r="AC26">
        <v>30.6</v>
      </c>
      <c r="AD26">
        <v>25.4</v>
      </c>
      <c r="AE26">
        <v>47.7</v>
      </c>
      <c r="AF26">
        <v>30.3</v>
      </c>
      <c r="AG26">
        <v>46.9</v>
      </c>
      <c r="AH26">
        <v>50.8</v>
      </c>
      <c r="AI26">
        <v>3.1</v>
      </c>
      <c r="AJ26">
        <v>2.4</v>
      </c>
      <c r="AK26">
        <v>24.9</v>
      </c>
      <c r="AL26">
        <v>16.600000000000001</v>
      </c>
      <c r="AM26">
        <v>1733.6</v>
      </c>
      <c r="AN26">
        <v>1469.1</v>
      </c>
      <c r="AO26">
        <v>8.6</v>
      </c>
      <c r="AP26">
        <v>8.6</v>
      </c>
      <c r="AQ26">
        <v>10</v>
      </c>
      <c r="AR26">
        <v>9.9</v>
      </c>
      <c r="AS26">
        <v>51</v>
      </c>
      <c r="AT26">
        <v>21.5</v>
      </c>
      <c r="AU26">
        <v>23</v>
      </c>
      <c r="AV26">
        <v>27</v>
      </c>
      <c r="AW26">
        <v>30</v>
      </c>
      <c r="AX26">
        <v>490</v>
      </c>
    </row>
    <row r="27" spans="1:50">
      <c r="A27">
        <v>495</v>
      </c>
      <c r="B27">
        <v>1</v>
      </c>
      <c r="C27">
        <v>0</v>
      </c>
      <c r="D27">
        <v>30.9</v>
      </c>
      <c r="E27">
        <v>30.9</v>
      </c>
      <c r="F27">
        <v>31</v>
      </c>
      <c r="G27">
        <v>31.1</v>
      </c>
      <c r="H27">
        <v>31</v>
      </c>
      <c r="I27">
        <v>30.9</v>
      </c>
      <c r="J27">
        <v>31.1</v>
      </c>
      <c r="K27">
        <v>31</v>
      </c>
      <c r="L27">
        <v>29.5</v>
      </c>
      <c r="M27">
        <v>25.3</v>
      </c>
      <c r="N27">
        <v>25.4</v>
      </c>
      <c r="O27">
        <v>56.6</v>
      </c>
      <c r="P27">
        <v>56</v>
      </c>
      <c r="Q27">
        <v>52.7</v>
      </c>
      <c r="R27">
        <v>52.7</v>
      </c>
      <c r="S27">
        <v>14.9</v>
      </c>
      <c r="T27">
        <v>0.1</v>
      </c>
      <c r="U27">
        <v>51.1</v>
      </c>
      <c r="V27">
        <v>51.2</v>
      </c>
      <c r="W27">
        <v>48.4</v>
      </c>
      <c r="X27">
        <v>31.3</v>
      </c>
      <c r="Y27">
        <v>31.3</v>
      </c>
      <c r="Z27">
        <v>30.9</v>
      </c>
      <c r="AA27">
        <v>31</v>
      </c>
      <c r="AB27">
        <v>30.9</v>
      </c>
      <c r="AC27">
        <v>31</v>
      </c>
      <c r="AD27">
        <v>25.3</v>
      </c>
      <c r="AE27">
        <v>52.7</v>
      </c>
      <c r="AF27">
        <v>31.3</v>
      </c>
      <c r="AG27">
        <v>51.2</v>
      </c>
      <c r="AH27">
        <v>56.3</v>
      </c>
      <c r="AI27">
        <v>3.6</v>
      </c>
      <c r="AJ27">
        <v>2.7</v>
      </c>
      <c r="AK27">
        <v>29.9</v>
      </c>
      <c r="AL27">
        <v>19.899999999999999</v>
      </c>
      <c r="AM27">
        <v>1821.3</v>
      </c>
      <c r="AN27">
        <v>1574.1</v>
      </c>
      <c r="AO27">
        <v>9.4</v>
      </c>
      <c r="AP27">
        <v>9.4</v>
      </c>
      <c r="AQ27">
        <v>10</v>
      </c>
      <c r="AR27">
        <v>9.9</v>
      </c>
      <c r="AS27">
        <v>51.5</v>
      </c>
      <c r="AT27">
        <v>21.5</v>
      </c>
      <c r="AU27">
        <v>23</v>
      </c>
      <c r="AV27">
        <v>27</v>
      </c>
      <c r="AW27">
        <v>30</v>
      </c>
      <c r="AX27">
        <v>515</v>
      </c>
    </row>
    <row r="28" spans="1:50">
      <c r="A28">
        <v>495</v>
      </c>
      <c r="B28">
        <v>1</v>
      </c>
      <c r="C28">
        <v>0</v>
      </c>
      <c r="D28">
        <v>30.9</v>
      </c>
      <c r="E28">
        <v>30.9</v>
      </c>
      <c r="F28">
        <v>31</v>
      </c>
      <c r="G28">
        <v>31.1</v>
      </c>
      <c r="H28">
        <v>31</v>
      </c>
      <c r="I28">
        <v>30.9</v>
      </c>
      <c r="J28">
        <v>31.1</v>
      </c>
      <c r="K28">
        <v>31</v>
      </c>
      <c r="L28">
        <v>29.5</v>
      </c>
      <c r="M28">
        <v>25.3</v>
      </c>
      <c r="N28">
        <v>25.4</v>
      </c>
      <c r="O28">
        <v>56.6</v>
      </c>
      <c r="P28">
        <v>56</v>
      </c>
      <c r="Q28">
        <v>52.7</v>
      </c>
      <c r="R28">
        <v>52.7</v>
      </c>
      <c r="S28">
        <v>14.9</v>
      </c>
      <c r="T28">
        <v>0.1</v>
      </c>
      <c r="U28">
        <v>51.1</v>
      </c>
      <c r="V28">
        <v>51.2</v>
      </c>
      <c r="W28">
        <v>48.4</v>
      </c>
      <c r="X28">
        <v>31.3</v>
      </c>
      <c r="Y28">
        <v>31.3</v>
      </c>
      <c r="Z28">
        <v>30.9</v>
      </c>
      <c r="AA28">
        <v>31</v>
      </c>
      <c r="AB28">
        <v>30.9</v>
      </c>
      <c r="AC28">
        <v>31</v>
      </c>
      <c r="AD28">
        <v>25.3</v>
      </c>
      <c r="AE28">
        <v>52.7</v>
      </c>
      <c r="AF28">
        <v>31.3</v>
      </c>
      <c r="AG28">
        <v>51.2</v>
      </c>
      <c r="AH28">
        <v>56.3</v>
      </c>
      <c r="AI28">
        <v>3.6</v>
      </c>
      <c r="AJ28">
        <v>2.7</v>
      </c>
      <c r="AK28">
        <v>29.9</v>
      </c>
      <c r="AL28">
        <v>19.899999999999999</v>
      </c>
      <c r="AM28">
        <v>1821.3</v>
      </c>
      <c r="AN28">
        <v>1574.1</v>
      </c>
      <c r="AO28">
        <v>9.4</v>
      </c>
      <c r="AP28">
        <v>9.4</v>
      </c>
      <c r="AQ28">
        <v>10</v>
      </c>
      <c r="AR28">
        <v>9.9</v>
      </c>
      <c r="AS28">
        <v>51.4</v>
      </c>
      <c r="AT28">
        <v>21.5</v>
      </c>
      <c r="AU28">
        <v>23</v>
      </c>
      <c r="AV28">
        <v>27</v>
      </c>
      <c r="AW28">
        <v>30</v>
      </c>
      <c r="AX28">
        <v>515</v>
      </c>
    </row>
    <row r="29" spans="1:50">
      <c r="A29">
        <v>495</v>
      </c>
      <c r="B29">
        <v>1</v>
      </c>
      <c r="C29">
        <v>0</v>
      </c>
      <c r="D29">
        <v>30.9</v>
      </c>
      <c r="E29">
        <v>30.9</v>
      </c>
      <c r="F29">
        <v>31</v>
      </c>
      <c r="G29">
        <v>31.1</v>
      </c>
      <c r="H29">
        <v>31</v>
      </c>
      <c r="I29">
        <v>30.9</v>
      </c>
      <c r="J29">
        <v>31.1</v>
      </c>
      <c r="K29">
        <v>31</v>
      </c>
      <c r="L29">
        <v>29.6</v>
      </c>
      <c r="M29">
        <v>25.4</v>
      </c>
      <c r="N29">
        <v>25.4</v>
      </c>
      <c r="O29">
        <v>56.5</v>
      </c>
      <c r="P29">
        <v>56</v>
      </c>
      <c r="Q29">
        <v>52.6</v>
      </c>
      <c r="R29">
        <v>52.6</v>
      </c>
      <c r="S29">
        <v>15</v>
      </c>
      <c r="T29">
        <v>0.1</v>
      </c>
      <c r="U29">
        <v>51.1</v>
      </c>
      <c r="V29">
        <v>51.2</v>
      </c>
      <c r="W29">
        <v>48.5</v>
      </c>
      <c r="X29">
        <v>31.3</v>
      </c>
      <c r="Y29">
        <v>31.3</v>
      </c>
      <c r="Z29">
        <v>30.9</v>
      </c>
      <c r="AA29">
        <v>31.1</v>
      </c>
      <c r="AB29">
        <v>30.9</v>
      </c>
      <c r="AC29">
        <v>31</v>
      </c>
      <c r="AD29">
        <v>25.4</v>
      </c>
      <c r="AE29">
        <v>52.6</v>
      </c>
      <c r="AF29">
        <v>31.3</v>
      </c>
      <c r="AG29">
        <v>51.2</v>
      </c>
      <c r="AH29">
        <v>56.3</v>
      </c>
      <c r="AI29">
        <v>3.7</v>
      </c>
      <c r="AJ29">
        <v>2.7</v>
      </c>
      <c r="AK29">
        <v>29.7</v>
      </c>
      <c r="AL29">
        <v>19.899999999999999</v>
      </c>
      <c r="AM29">
        <v>1821.3</v>
      </c>
      <c r="AN29">
        <v>1572.6</v>
      </c>
      <c r="AO29">
        <v>9.4</v>
      </c>
      <c r="AP29">
        <v>9.4</v>
      </c>
      <c r="AQ29">
        <v>10</v>
      </c>
      <c r="AR29">
        <v>9.9</v>
      </c>
      <c r="AS29">
        <v>51.4</v>
      </c>
      <c r="AT29">
        <v>21.5</v>
      </c>
      <c r="AU29">
        <v>23</v>
      </c>
      <c r="AV29">
        <v>27</v>
      </c>
      <c r="AW29">
        <v>5</v>
      </c>
      <c r="AX29">
        <v>515</v>
      </c>
    </row>
    <row r="30" spans="1:50">
      <c r="A30">
        <v>525</v>
      </c>
      <c r="B30">
        <v>1</v>
      </c>
      <c r="C30">
        <v>0</v>
      </c>
      <c r="D30">
        <v>31.1</v>
      </c>
      <c r="E30">
        <v>31.1</v>
      </c>
      <c r="F30">
        <v>31.1</v>
      </c>
      <c r="G30">
        <v>31.2</v>
      </c>
      <c r="H30">
        <v>31.1</v>
      </c>
      <c r="I30">
        <v>31</v>
      </c>
      <c r="J30">
        <v>31.2</v>
      </c>
      <c r="K30">
        <v>31.1</v>
      </c>
      <c r="L30">
        <v>29.7</v>
      </c>
      <c r="M30">
        <v>26.4</v>
      </c>
      <c r="N30">
        <v>26.5</v>
      </c>
      <c r="O30">
        <v>37.1</v>
      </c>
      <c r="P30">
        <v>36.700000000000003</v>
      </c>
      <c r="Q30">
        <v>34.6</v>
      </c>
      <c r="R30">
        <v>34.700000000000003</v>
      </c>
      <c r="S30">
        <v>22.1</v>
      </c>
      <c r="T30">
        <v>0</v>
      </c>
      <c r="U30">
        <v>35.700000000000003</v>
      </c>
      <c r="V30">
        <v>35.700000000000003</v>
      </c>
      <c r="W30">
        <v>34.299999999999997</v>
      </c>
      <c r="X30">
        <v>28.4</v>
      </c>
      <c r="Y30">
        <v>28.6</v>
      </c>
      <c r="Z30">
        <v>31.1</v>
      </c>
      <c r="AA30">
        <v>31.1</v>
      </c>
      <c r="AB30">
        <v>31.1</v>
      </c>
      <c r="AC30">
        <v>31.1</v>
      </c>
      <c r="AD30">
        <v>26.5</v>
      </c>
      <c r="AE30">
        <v>34.700000000000003</v>
      </c>
      <c r="AF30">
        <v>28.5</v>
      </c>
      <c r="AG30">
        <v>35.700000000000003</v>
      </c>
      <c r="AH30">
        <v>36.9</v>
      </c>
      <c r="AI30">
        <v>2.2000000000000002</v>
      </c>
      <c r="AJ30">
        <v>1.4</v>
      </c>
      <c r="AK30">
        <v>10.7</v>
      </c>
      <c r="AL30">
        <v>7.2</v>
      </c>
      <c r="AM30">
        <v>1292.3</v>
      </c>
      <c r="AN30">
        <v>1022.1</v>
      </c>
      <c r="AO30">
        <v>5.9</v>
      </c>
      <c r="AP30">
        <v>5.9</v>
      </c>
      <c r="AQ30">
        <v>10</v>
      </c>
      <c r="AR30">
        <v>9.9</v>
      </c>
      <c r="AS30">
        <v>51.4</v>
      </c>
      <c r="AT30">
        <v>21.5</v>
      </c>
      <c r="AU30">
        <v>23</v>
      </c>
      <c r="AV30">
        <v>27</v>
      </c>
      <c r="AW30">
        <v>5</v>
      </c>
      <c r="AX30">
        <v>160</v>
      </c>
    </row>
    <row r="31" spans="1:50">
      <c r="A31">
        <v>525</v>
      </c>
      <c r="B31">
        <v>1</v>
      </c>
      <c r="C31">
        <v>0</v>
      </c>
      <c r="D31">
        <v>31.1</v>
      </c>
      <c r="E31">
        <v>31.1</v>
      </c>
      <c r="F31">
        <v>31.1</v>
      </c>
      <c r="G31">
        <v>31.2</v>
      </c>
      <c r="H31">
        <v>31.1</v>
      </c>
      <c r="I31">
        <v>31</v>
      </c>
      <c r="J31">
        <v>31.2</v>
      </c>
      <c r="K31">
        <v>31.1</v>
      </c>
      <c r="L31">
        <v>29.7</v>
      </c>
      <c r="M31">
        <v>26.4</v>
      </c>
      <c r="N31">
        <v>26.5</v>
      </c>
      <c r="O31">
        <v>37.1</v>
      </c>
      <c r="P31">
        <v>36.700000000000003</v>
      </c>
      <c r="Q31">
        <v>34.6</v>
      </c>
      <c r="R31">
        <v>34.700000000000003</v>
      </c>
      <c r="S31">
        <v>22.1</v>
      </c>
      <c r="T31">
        <v>0</v>
      </c>
      <c r="U31">
        <v>35.700000000000003</v>
      </c>
      <c r="V31">
        <v>35.700000000000003</v>
      </c>
      <c r="W31">
        <v>34.299999999999997</v>
      </c>
      <c r="X31">
        <v>28.4</v>
      </c>
      <c r="Y31">
        <v>28.6</v>
      </c>
      <c r="Z31">
        <v>31.1</v>
      </c>
      <c r="AA31">
        <v>31.1</v>
      </c>
      <c r="AB31">
        <v>31.1</v>
      </c>
      <c r="AC31">
        <v>31.1</v>
      </c>
      <c r="AD31">
        <v>26.5</v>
      </c>
      <c r="AE31">
        <v>34.700000000000003</v>
      </c>
      <c r="AF31">
        <v>28.5</v>
      </c>
      <c r="AG31">
        <v>35.700000000000003</v>
      </c>
      <c r="AH31">
        <v>36.9</v>
      </c>
      <c r="AI31">
        <v>2.2000000000000002</v>
      </c>
      <c r="AJ31">
        <v>1.4</v>
      </c>
      <c r="AK31">
        <v>10.7</v>
      </c>
      <c r="AL31">
        <v>7.2</v>
      </c>
      <c r="AM31">
        <v>1292.3</v>
      </c>
      <c r="AN31">
        <v>1022.1</v>
      </c>
      <c r="AO31">
        <v>5.9</v>
      </c>
      <c r="AP31">
        <v>5.9</v>
      </c>
      <c r="AQ31">
        <v>10</v>
      </c>
      <c r="AR31">
        <v>9.9</v>
      </c>
      <c r="AS31">
        <v>51.4</v>
      </c>
      <c r="AT31">
        <v>21.5</v>
      </c>
      <c r="AU31">
        <v>23</v>
      </c>
      <c r="AV31">
        <v>27</v>
      </c>
      <c r="AW31">
        <v>5</v>
      </c>
      <c r="AX31">
        <v>160</v>
      </c>
    </row>
    <row r="32" spans="1:50">
      <c r="A32">
        <v>525</v>
      </c>
      <c r="B32">
        <v>1</v>
      </c>
      <c r="C32">
        <v>0</v>
      </c>
      <c r="D32">
        <v>31.1</v>
      </c>
      <c r="E32">
        <v>31.1</v>
      </c>
      <c r="F32">
        <v>31.1</v>
      </c>
      <c r="G32">
        <v>31.2</v>
      </c>
      <c r="H32">
        <v>31.1</v>
      </c>
      <c r="I32">
        <v>31</v>
      </c>
      <c r="J32">
        <v>31.2</v>
      </c>
      <c r="K32">
        <v>31.1</v>
      </c>
      <c r="L32">
        <v>29.7</v>
      </c>
      <c r="M32">
        <v>26.4</v>
      </c>
      <c r="N32">
        <v>26.5</v>
      </c>
      <c r="O32">
        <v>37.1</v>
      </c>
      <c r="P32">
        <v>36.700000000000003</v>
      </c>
      <c r="Q32">
        <v>34.6</v>
      </c>
      <c r="R32">
        <v>34.700000000000003</v>
      </c>
      <c r="S32">
        <v>22.1</v>
      </c>
      <c r="T32">
        <v>0</v>
      </c>
      <c r="U32">
        <v>35.700000000000003</v>
      </c>
      <c r="V32">
        <v>35.700000000000003</v>
      </c>
      <c r="W32">
        <v>34.299999999999997</v>
      </c>
      <c r="X32">
        <v>28.4</v>
      </c>
      <c r="Y32">
        <v>28.6</v>
      </c>
      <c r="Z32">
        <v>31.1</v>
      </c>
      <c r="AA32">
        <v>31.1</v>
      </c>
      <c r="AB32">
        <v>31.1</v>
      </c>
      <c r="AC32">
        <v>31.1</v>
      </c>
      <c r="AD32">
        <v>26.5</v>
      </c>
      <c r="AE32">
        <v>34.700000000000003</v>
      </c>
      <c r="AF32">
        <v>28.5</v>
      </c>
      <c r="AG32">
        <v>35.700000000000003</v>
      </c>
      <c r="AH32">
        <v>36.9</v>
      </c>
      <c r="AI32">
        <v>2.2000000000000002</v>
      </c>
      <c r="AJ32">
        <v>1.4</v>
      </c>
      <c r="AK32">
        <v>10.7</v>
      </c>
      <c r="AL32">
        <v>7.2</v>
      </c>
      <c r="AM32">
        <v>1292.3</v>
      </c>
      <c r="AN32">
        <v>1022.1</v>
      </c>
      <c r="AO32">
        <v>5.9</v>
      </c>
      <c r="AP32">
        <v>5.9</v>
      </c>
      <c r="AQ32">
        <v>10</v>
      </c>
      <c r="AR32">
        <v>9.9</v>
      </c>
      <c r="AS32">
        <v>51.4</v>
      </c>
      <c r="AT32">
        <v>21.5</v>
      </c>
      <c r="AU32">
        <v>23</v>
      </c>
      <c r="AV32">
        <v>27</v>
      </c>
      <c r="AW32">
        <v>5</v>
      </c>
      <c r="AX32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32"/>
  <sheetViews>
    <sheetView workbookViewId="0">
      <selection activeCell="AM25" sqref="AM25"/>
    </sheetView>
  </sheetViews>
  <sheetFormatPr defaultRowHeight="14.45"/>
  <cols>
    <col min="2" max="2" width="16.42578125" customWidth="1"/>
    <col min="3" max="3" width="44.5703125" bestFit="1" customWidth="1"/>
    <col min="4" max="19" width="11.85546875" bestFit="1" customWidth="1"/>
    <col min="20" max="20" width="12.42578125" bestFit="1" customWidth="1"/>
    <col min="21" max="33" width="11.85546875" bestFit="1" customWidth="1"/>
    <col min="34" max="35" width="15.85546875" bestFit="1" customWidth="1"/>
    <col min="36" max="36" width="17.7109375" bestFit="1" customWidth="1"/>
    <col min="37" max="37" width="27.5703125" bestFit="1" customWidth="1"/>
    <col min="38" max="38" width="25.42578125" bestFit="1" customWidth="1"/>
    <col min="39" max="42" width="12.42578125" bestFit="1" customWidth="1"/>
    <col min="43" max="43" width="18.140625" bestFit="1" customWidth="1"/>
    <col min="44" max="44" width="18.5703125" bestFit="1" customWidth="1"/>
    <col min="45" max="45" width="11.85546875" bestFit="1" customWidth="1"/>
    <col min="46" max="46" width="15" bestFit="1" customWidth="1"/>
    <col min="47" max="47" width="14.85546875" bestFit="1" customWidth="1"/>
    <col min="48" max="48" width="29.42578125" bestFit="1" customWidth="1"/>
    <col min="49" max="49" width="20.42578125" bestFit="1" customWidth="1"/>
    <col min="50" max="50" width="22.140625" bestFit="1" customWidth="1"/>
  </cols>
  <sheetData>
    <row r="1" spans="1:50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47</v>
      </c>
      <c r="AD1" t="s">
        <v>48</v>
      </c>
      <c r="AE1" t="s">
        <v>49</v>
      </c>
      <c r="AF1" t="s">
        <v>50</v>
      </c>
      <c r="AG1" t="s">
        <v>51</v>
      </c>
      <c r="AH1" t="s">
        <v>52</v>
      </c>
      <c r="AI1" t="s">
        <v>53</v>
      </c>
      <c r="AJ1" t="s">
        <v>54</v>
      </c>
      <c r="AK1" t="s">
        <v>55</v>
      </c>
      <c r="AL1" t="s">
        <v>56</v>
      </c>
      <c r="AM1" t="s">
        <v>57</v>
      </c>
      <c r="AN1" t="s">
        <v>58</v>
      </c>
      <c r="AO1" t="s">
        <v>59</v>
      </c>
      <c r="AP1" t="s">
        <v>60</v>
      </c>
      <c r="AQ1" t="s">
        <v>61</v>
      </c>
      <c r="AR1" t="s">
        <v>62</v>
      </c>
      <c r="AS1" t="s">
        <v>63</v>
      </c>
      <c r="AT1" t="s">
        <v>64</v>
      </c>
      <c r="AU1" t="s">
        <v>65</v>
      </c>
      <c r="AV1" t="s">
        <v>66</v>
      </c>
      <c r="AW1" t="s">
        <v>67</v>
      </c>
      <c r="AX1" t="s">
        <v>68</v>
      </c>
    </row>
    <row r="2" spans="1:50">
      <c r="A2" t="s">
        <v>69</v>
      </c>
      <c r="B2" t="s">
        <v>70</v>
      </c>
      <c r="C2" t="s">
        <v>70</v>
      </c>
      <c r="D2" t="s">
        <v>71</v>
      </c>
      <c r="E2" t="s">
        <v>71</v>
      </c>
      <c r="F2" t="s">
        <v>71</v>
      </c>
      <c r="G2" t="s">
        <v>71</v>
      </c>
      <c r="H2" t="s">
        <v>72</v>
      </c>
      <c r="I2" t="s">
        <v>72</v>
      </c>
      <c r="J2" t="s">
        <v>72</v>
      </c>
      <c r="K2" t="s">
        <v>72</v>
      </c>
      <c r="L2" t="s">
        <v>72</v>
      </c>
      <c r="M2" t="s">
        <v>72</v>
      </c>
      <c r="N2" t="s">
        <v>72</v>
      </c>
      <c r="O2" t="s">
        <v>72</v>
      </c>
      <c r="P2" t="s">
        <v>71</v>
      </c>
      <c r="Q2" t="s">
        <v>71</v>
      </c>
      <c r="R2" t="s">
        <v>72</v>
      </c>
      <c r="S2" t="s">
        <v>72</v>
      </c>
      <c r="T2" t="s">
        <v>72</v>
      </c>
      <c r="U2" t="s">
        <v>72</v>
      </c>
      <c r="V2" t="s">
        <v>72</v>
      </c>
      <c r="W2" t="s">
        <v>73</v>
      </c>
      <c r="X2" t="s">
        <v>74</v>
      </c>
      <c r="Y2" t="s">
        <v>74</v>
      </c>
      <c r="Z2" t="s">
        <v>74</v>
      </c>
      <c r="AA2" t="s">
        <v>74</v>
      </c>
      <c r="AB2" t="s">
        <v>74</v>
      </c>
      <c r="AC2" t="s">
        <v>74</v>
      </c>
      <c r="AD2" t="s">
        <v>74</v>
      </c>
      <c r="AE2" t="s">
        <v>71</v>
      </c>
      <c r="AF2" t="s">
        <v>70</v>
      </c>
      <c r="AG2" t="s">
        <v>71</v>
      </c>
      <c r="AH2" t="s">
        <v>72</v>
      </c>
      <c r="AI2" t="s">
        <v>73</v>
      </c>
      <c r="AJ2" t="s">
        <v>72</v>
      </c>
      <c r="AK2" t="s">
        <v>72</v>
      </c>
      <c r="AL2" t="s">
        <v>72</v>
      </c>
      <c r="AM2" t="s">
        <v>75</v>
      </c>
      <c r="AN2" t="s">
        <v>75</v>
      </c>
      <c r="AO2" t="s">
        <v>74</v>
      </c>
      <c r="AP2" t="s">
        <v>74</v>
      </c>
      <c r="AQ2" t="s">
        <v>74</v>
      </c>
      <c r="AR2" t="s">
        <v>74</v>
      </c>
      <c r="AS2" t="s">
        <v>74</v>
      </c>
      <c r="AT2" t="s">
        <v>71</v>
      </c>
      <c r="AU2" t="s">
        <v>70</v>
      </c>
      <c r="AV2" t="s">
        <v>71</v>
      </c>
      <c r="AW2" t="s">
        <v>72</v>
      </c>
      <c r="AX2" t="s">
        <v>76</v>
      </c>
    </row>
    <row r="3" spans="1:50">
      <c r="A3">
        <v>15</v>
      </c>
      <c r="B3">
        <f>--AND(Measurements!B3&gt;='mean-3Sigma'!B2, Measurements!B3&lt;='mean+3Sigma'!B2)</f>
        <v>1</v>
      </c>
      <c r="C3">
        <f>--AND(Measurements!C3&gt;='mean-3Sigma'!C2, Measurements!C3&lt;='mean+3Sigma'!C2)</f>
        <v>1</v>
      </c>
      <c r="D3">
        <f>--AND(Measurements!D3&gt;='mean-3Sigma'!D2, Measurements!D3&lt;='mean+3Sigma'!D2)</f>
        <v>1</v>
      </c>
      <c r="E3">
        <f>--AND(Measurements!E3&gt;='mean-3Sigma'!E2, Measurements!E3&lt;='mean+3Sigma'!E2)</f>
        <v>1</v>
      </c>
      <c r="F3">
        <f>--AND(Measurements!F3&gt;='mean-3Sigma'!F2, Measurements!F3&lt;='mean+3Sigma'!F2)</f>
        <v>1</v>
      </c>
      <c r="G3">
        <f>--AND(Measurements!G3&gt;='mean-3Sigma'!G2, Measurements!G3&lt;='mean+3Sigma'!G2)</f>
        <v>1</v>
      </c>
      <c r="H3">
        <f>--AND(Measurements!H3&gt;='mean-3Sigma'!H2, Measurements!H3&lt;='mean+3Sigma'!H2)</f>
        <v>1</v>
      </c>
      <c r="I3">
        <f>--AND(Measurements!I3&gt;='mean-3Sigma'!I2, Measurements!I3&lt;='mean+3Sigma'!I2)</f>
        <v>1</v>
      </c>
      <c r="J3">
        <f>--AND(Measurements!J3&gt;='mean-3Sigma'!J2, Measurements!J3&lt;='mean+3Sigma'!J2)</f>
        <v>1</v>
      </c>
      <c r="K3">
        <f>--AND(Measurements!K3&gt;='mean-3Sigma'!K2, Measurements!K3&lt;='mean+3Sigma'!K2)</f>
        <v>1</v>
      </c>
      <c r="L3">
        <f>--AND(Measurements!L3&gt;='mean-3Sigma'!L2, Measurements!L3&lt;='mean+3Sigma'!L2)</f>
        <v>1</v>
      </c>
      <c r="M3">
        <f>--AND(Measurements!M3&gt;='mean-3Sigma'!M2, Measurements!M3&lt;='mean+3Sigma'!M2)</f>
        <v>1</v>
      </c>
      <c r="N3">
        <f>--AND(Measurements!N3&gt;='mean-3Sigma'!N2, Measurements!N3&lt;='mean+3Sigma'!N2)</f>
        <v>1</v>
      </c>
      <c r="O3">
        <f>--AND(Measurements!O3&gt;='mean-3Sigma'!O2, Measurements!O3&lt;='mean+3Sigma'!O2)</f>
        <v>1</v>
      </c>
      <c r="P3">
        <f>--AND(Measurements!P3&gt;='mean-3Sigma'!P2, Measurements!P3&lt;='mean+3Sigma'!P2)</f>
        <v>1</v>
      </c>
      <c r="Q3">
        <f>--AND(Measurements!Q3&gt;='mean-3Sigma'!Q2, Measurements!Q3&lt;='mean+3Sigma'!Q2)</f>
        <v>1</v>
      </c>
      <c r="R3">
        <f>--AND(Measurements!R3&gt;='mean-3Sigma'!R2, Measurements!R3&lt;='mean+3Sigma'!R2)</f>
        <v>1</v>
      </c>
      <c r="S3">
        <f>--AND(Measurements!S3&gt;='mean-3Sigma'!S2, Measurements!S3&lt;='mean+3Sigma'!S2)</f>
        <v>1</v>
      </c>
      <c r="T3">
        <f>--AND(Measurements!T3&gt;='mean-3Sigma'!T2, Measurements!T3&lt;='mean+3Sigma'!T2)</f>
        <v>1</v>
      </c>
      <c r="U3">
        <f>--AND(Measurements!U3&gt;='mean-3Sigma'!U2, Measurements!U3&lt;='mean+3Sigma'!U2)</f>
        <v>1</v>
      </c>
      <c r="V3">
        <f>--AND(Measurements!V3&gt;='mean-3Sigma'!V2, Measurements!V3&lt;='mean+3Sigma'!V2)</f>
        <v>1</v>
      </c>
      <c r="W3">
        <f>--AND(Measurements!W3&gt;='mean-3Sigma'!W2, Measurements!W3&lt;='mean+3Sigma'!W2)</f>
        <v>1</v>
      </c>
      <c r="X3">
        <f>--AND(Measurements!X3&gt;='mean-3Sigma'!X2, Measurements!X3&lt;='mean+3Sigma'!X2)</f>
        <v>1</v>
      </c>
      <c r="Y3">
        <f>--AND(Measurements!Y3&gt;='mean-3Sigma'!Y2, Measurements!Y3&lt;='mean+3Sigma'!Y2)</f>
        <v>1</v>
      </c>
      <c r="Z3">
        <f>--AND(Measurements!Z3&gt;='mean-3Sigma'!Z2, Measurements!Z3&lt;='mean+3Sigma'!Z2)</f>
        <v>1</v>
      </c>
      <c r="AA3">
        <f>--AND(Measurements!AA3&gt;='mean-3Sigma'!AA2, Measurements!AA3&lt;='mean+3Sigma'!AA2)</f>
        <v>1</v>
      </c>
      <c r="AB3">
        <f>--AND(Measurements!AB3&gt;='mean-3Sigma'!AB2, Measurements!AB3&lt;='mean+3Sigma'!AB2)</f>
        <v>1</v>
      </c>
      <c r="AC3">
        <f>--AND(Measurements!AC3&gt;='mean-3Sigma'!AC2, Measurements!AC3&lt;='mean+3Sigma'!AC2)</f>
        <v>1</v>
      </c>
      <c r="AD3">
        <f>--AND(Measurements!AD3&gt;='mean-3Sigma'!AD2, Measurements!AD3&lt;='mean+3Sigma'!AD2)</f>
        <v>1</v>
      </c>
      <c r="AE3">
        <f>--AND(Measurements!AE3&gt;='mean-3Sigma'!AE2, Measurements!AE3&lt;='mean+3Sigma'!AE2)</f>
        <v>1</v>
      </c>
      <c r="AF3">
        <f>--AND(Measurements!AF3&gt;='mean-3Sigma'!AF2, Measurements!AF3&lt;='mean+3Sigma'!AF2)</f>
        <v>1</v>
      </c>
      <c r="AG3">
        <f>--AND(Measurements!AG3&gt;='mean-3Sigma'!AG2, Measurements!AG3&lt;='mean+3Sigma'!AG2)</f>
        <v>1</v>
      </c>
      <c r="AH3">
        <f>--AND(Measurements!AH3&gt;='mean-3Sigma'!AH2, Measurements!AH3&lt;='mean+3Sigma'!AH2)</f>
        <v>1</v>
      </c>
      <c r="AI3">
        <f>--AND(Measurements!AI3&gt;='mean-3Sigma'!AI2, Measurements!AI3&lt;='mean+3Sigma'!AI2)</f>
        <v>1</v>
      </c>
      <c r="AJ3">
        <f>--AND(Measurements!AJ3&gt;='mean-3Sigma'!AJ2, Measurements!AJ3&lt;='mean+3Sigma'!AJ2)</f>
        <v>1</v>
      </c>
      <c r="AK3">
        <f>--AND(Measurements!AK3&gt;='mean-3Sigma'!AK2, Measurements!AK3&lt;='mean+3Sigma'!AK2)</f>
        <v>1</v>
      </c>
      <c r="AL3">
        <f>--AND(Measurements!AL3&gt;='mean-3Sigma'!AL2, Measurements!AL3&lt;='mean+3Sigma'!AL2)</f>
        <v>1</v>
      </c>
      <c r="AM3">
        <f>--AND(Measurements!AM3&gt;='mean-3Sigma'!AM2, Measurements!AM3&lt;='mean+3Sigma'!AM2)</f>
        <v>1</v>
      </c>
      <c r="AN3">
        <f>--AND(Measurements!AN3&gt;='mean-3Sigma'!AN2, Measurements!AN3&lt;='mean+3Sigma'!AN2)</f>
        <v>1</v>
      </c>
      <c r="AO3">
        <f>--AND(Measurements!AO3&gt;='mean-3Sigma'!AO2, Measurements!AO3&lt;='mean+3Sigma'!AO2)</f>
        <v>1</v>
      </c>
      <c r="AP3">
        <f>--AND(Measurements!AP3&gt;='mean-3Sigma'!AP2, Measurements!AP3&lt;='mean+3Sigma'!AP2)</f>
        <v>1</v>
      </c>
      <c r="AQ3">
        <f>--AND(Measurements!AQ3&gt;='mean-3Sigma'!AQ2, Measurements!AQ3&lt;='mean+3Sigma'!AQ2)</f>
        <v>1</v>
      </c>
      <c r="AR3">
        <f>--AND(Measurements!AR3&gt;='mean-3Sigma'!AR2, Measurements!AR3&lt;='mean+3Sigma'!AR2)</f>
        <v>1</v>
      </c>
      <c r="AS3">
        <f>--AND(Measurements!AS3&gt;='mean-3Sigma'!AS2, Measurements!AS3&lt;='mean+3Sigma'!AS2)</f>
        <v>0</v>
      </c>
      <c r="AT3">
        <f>--AND(Measurements!AT3&gt;='mean-3Sigma'!AT2, Measurements!AT3&lt;='mean+3Sigma'!AT2)</f>
        <v>1</v>
      </c>
      <c r="AU3">
        <f>--AND(Measurements!AU3&gt;='mean-3Sigma'!AU2, Measurements!AU3&lt;='mean+3Sigma'!AU2)</f>
        <v>0</v>
      </c>
      <c r="AV3">
        <f>--AND(Measurements!AV3&gt;='mean-3Sigma'!AV2, Measurements!AV3&lt;='mean+3Sigma'!AV2)</f>
        <v>0</v>
      </c>
      <c r="AW3">
        <f>--AND(Measurements!AW3&gt;='mean-3Sigma'!AW2, Measurements!AW3&lt;='mean+3Sigma'!AW2)</f>
        <v>0</v>
      </c>
      <c r="AX3">
        <f>--AND(Measurements!AX3&gt;='mean-3Sigma'!AX2, Measurements!AX3&lt;='mean+3Sigma'!AX2)</f>
        <v>1</v>
      </c>
    </row>
    <row r="4" spans="1:50">
      <c r="A4">
        <v>15</v>
      </c>
      <c r="B4">
        <f>--AND(Measurements!B4&gt;='mean-3Sigma'!B3, Measurements!B4&lt;='mean+3Sigma'!B3)</f>
        <v>1</v>
      </c>
      <c r="C4">
        <f>--AND(Measurements!C4&gt;='mean-3Sigma'!C3, Measurements!C4&lt;='mean+3Sigma'!C3)</f>
        <v>1</v>
      </c>
      <c r="D4">
        <f>--AND(Measurements!D4&gt;='mean-3Sigma'!D3, Measurements!D4&lt;='mean+3Sigma'!D3)</f>
        <v>1</v>
      </c>
      <c r="E4">
        <f>--AND(Measurements!E4&gt;='mean-3Sigma'!E3, Measurements!E4&lt;='mean+3Sigma'!E3)</f>
        <v>1</v>
      </c>
      <c r="F4">
        <f>--AND(Measurements!F4&gt;='mean-3Sigma'!F3, Measurements!F4&lt;='mean+3Sigma'!F3)</f>
        <v>1</v>
      </c>
      <c r="G4">
        <f>--AND(Measurements!G4&gt;='mean-3Sigma'!G3, Measurements!G4&lt;='mean+3Sigma'!G3)</f>
        <v>1</v>
      </c>
      <c r="H4">
        <f>--AND(Measurements!H4&gt;='mean-3Sigma'!H3, Measurements!H4&lt;='mean+3Sigma'!H3)</f>
        <v>1</v>
      </c>
      <c r="I4">
        <f>--AND(Measurements!I4&gt;='mean-3Sigma'!I3, Measurements!I4&lt;='mean+3Sigma'!I3)</f>
        <v>1</v>
      </c>
      <c r="J4">
        <f>--AND(Measurements!J4&gt;='mean-3Sigma'!J3, Measurements!J4&lt;='mean+3Sigma'!J3)</f>
        <v>1</v>
      </c>
      <c r="K4">
        <f>--AND(Measurements!K4&gt;='mean-3Sigma'!K3, Measurements!K4&lt;='mean+3Sigma'!K3)</f>
        <v>1</v>
      </c>
      <c r="L4">
        <f>--AND(Measurements!L4&gt;='mean-3Sigma'!L3, Measurements!L4&lt;='mean+3Sigma'!L3)</f>
        <v>1</v>
      </c>
      <c r="M4">
        <f>--AND(Measurements!M4&gt;='mean-3Sigma'!M3, Measurements!M4&lt;='mean+3Sigma'!M3)</f>
        <v>1</v>
      </c>
      <c r="N4">
        <f>--AND(Measurements!N4&gt;='mean-3Sigma'!N3, Measurements!N4&lt;='mean+3Sigma'!N3)</f>
        <v>1</v>
      </c>
      <c r="O4">
        <f>--AND(Measurements!O4&gt;='mean-3Sigma'!O3, Measurements!O4&lt;='mean+3Sigma'!O3)</f>
        <v>1</v>
      </c>
      <c r="P4">
        <f>--AND(Measurements!P4&gt;='mean-3Sigma'!P3, Measurements!P4&lt;='mean+3Sigma'!P3)</f>
        <v>1</v>
      </c>
      <c r="Q4">
        <f>--AND(Measurements!Q4&gt;='mean-3Sigma'!Q3, Measurements!Q4&lt;='mean+3Sigma'!Q3)</f>
        <v>1</v>
      </c>
      <c r="R4">
        <f>--AND(Measurements!R4&gt;='mean-3Sigma'!R3, Measurements!R4&lt;='mean+3Sigma'!R3)</f>
        <v>1</v>
      </c>
      <c r="S4">
        <f>--AND(Measurements!S4&gt;='mean-3Sigma'!S3, Measurements!S4&lt;='mean+3Sigma'!S3)</f>
        <v>1</v>
      </c>
      <c r="T4">
        <f>--AND(Measurements!T4&gt;='mean-3Sigma'!T3, Measurements!T4&lt;='mean+3Sigma'!T3)</f>
        <v>1</v>
      </c>
      <c r="U4">
        <f>--AND(Measurements!U4&gt;='mean-3Sigma'!U3, Measurements!U4&lt;='mean+3Sigma'!U3)</f>
        <v>1</v>
      </c>
      <c r="V4">
        <f>--AND(Measurements!V4&gt;='mean-3Sigma'!V3, Measurements!V4&lt;='mean+3Sigma'!V3)</f>
        <v>1</v>
      </c>
      <c r="W4">
        <f>--AND(Measurements!W4&gt;='mean-3Sigma'!W3, Measurements!W4&lt;='mean+3Sigma'!W3)</f>
        <v>1</v>
      </c>
      <c r="X4">
        <f>--AND(Measurements!X4&gt;='mean-3Sigma'!X3, Measurements!X4&lt;='mean+3Sigma'!X3)</f>
        <v>1</v>
      </c>
      <c r="Y4">
        <f>--AND(Measurements!Y4&gt;='mean-3Sigma'!Y3, Measurements!Y4&lt;='mean+3Sigma'!Y3)</f>
        <v>1</v>
      </c>
      <c r="Z4">
        <f>--AND(Measurements!Z4&gt;='mean-3Sigma'!Z3, Measurements!Z4&lt;='mean+3Sigma'!Z3)</f>
        <v>1</v>
      </c>
      <c r="AA4">
        <f>--AND(Measurements!AA4&gt;='mean-3Sigma'!AA3, Measurements!AA4&lt;='mean+3Sigma'!AA3)</f>
        <v>1</v>
      </c>
      <c r="AB4">
        <f>--AND(Measurements!AB4&gt;='mean-3Sigma'!AB3, Measurements!AB4&lt;='mean+3Sigma'!AB3)</f>
        <v>1</v>
      </c>
      <c r="AC4">
        <f>--AND(Measurements!AC4&gt;='mean-3Sigma'!AC3, Measurements!AC4&lt;='mean+3Sigma'!AC3)</f>
        <v>1</v>
      </c>
      <c r="AD4">
        <f>--AND(Measurements!AD4&gt;='mean-3Sigma'!AD3, Measurements!AD4&lt;='mean+3Sigma'!AD3)</f>
        <v>1</v>
      </c>
      <c r="AE4">
        <f>--AND(Measurements!AE4&gt;='mean-3Sigma'!AE3, Measurements!AE4&lt;='mean+3Sigma'!AE3)</f>
        <v>1</v>
      </c>
      <c r="AF4">
        <f>--AND(Measurements!AF4&gt;='mean-3Sigma'!AF3, Measurements!AF4&lt;='mean+3Sigma'!AF3)</f>
        <v>1</v>
      </c>
      <c r="AG4">
        <f>--AND(Measurements!AG4&gt;='mean-3Sigma'!AG3, Measurements!AG4&lt;='mean+3Sigma'!AG3)</f>
        <v>1</v>
      </c>
      <c r="AH4">
        <f>--AND(Measurements!AH4&gt;='mean-3Sigma'!AH3, Measurements!AH4&lt;='mean+3Sigma'!AH3)</f>
        <v>1</v>
      </c>
      <c r="AI4">
        <f>--AND(Measurements!AI4&gt;='mean-3Sigma'!AI3, Measurements!AI4&lt;='mean+3Sigma'!AI3)</f>
        <v>1</v>
      </c>
      <c r="AJ4">
        <f>--AND(Measurements!AJ4&gt;='mean-3Sigma'!AJ3, Measurements!AJ4&lt;='mean+3Sigma'!AJ3)</f>
        <v>1</v>
      </c>
      <c r="AK4">
        <f>--AND(Measurements!AK4&gt;='mean-3Sigma'!AK3, Measurements!AK4&lt;='mean+3Sigma'!AK3)</f>
        <v>1</v>
      </c>
      <c r="AL4">
        <f>--AND(Measurements!AL4&gt;='mean-3Sigma'!AL3, Measurements!AL4&lt;='mean+3Sigma'!AL3)</f>
        <v>1</v>
      </c>
      <c r="AM4">
        <f>--AND(Measurements!AM4&gt;='mean-3Sigma'!AM3, Measurements!AM4&lt;='mean+3Sigma'!AM3)</f>
        <v>1</v>
      </c>
      <c r="AN4">
        <f>--AND(Measurements!AN4&gt;='mean-3Sigma'!AN3, Measurements!AN4&lt;='mean+3Sigma'!AN3)</f>
        <v>1</v>
      </c>
      <c r="AO4">
        <f>--AND(Measurements!AO4&gt;='mean-3Sigma'!AO3, Measurements!AO4&lt;='mean+3Sigma'!AO3)</f>
        <v>0</v>
      </c>
      <c r="AP4">
        <f>--AND(Measurements!AP4&gt;='mean-3Sigma'!AP3, Measurements!AP4&lt;='mean+3Sigma'!AP3)</f>
        <v>0</v>
      </c>
      <c r="AQ4">
        <f>--AND(Measurements!AQ4&gt;='mean-3Sigma'!AQ3, Measurements!AQ4&lt;='mean+3Sigma'!AQ3)</f>
        <v>1</v>
      </c>
      <c r="AR4">
        <f>--AND(Measurements!AR4&gt;='mean-3Sigma'!AR3, Measurements!AR4&lt;='mean+3Sigma'!AR3)</f>
        <v>1</v>
      </c>
      <c r="AS4">
        <f>--AND(Measurements!AS4&gt;='mean-3Sigma'!AS3, Measurements!AS4&lt;='mean+3Sigma'!AS3)</f>
        <v>0</v>
      </c>
      <c r="AT4">
        <f>--AND(Measurements!AT4&gt;='mean-3Sigma'!AT3, Measurements!AT4&lt;='mean+3Sigma'!AT3)</f>
        <v>1</v>
      </c>
      <c r="AU4">
        <f>--AND(Measurements!AU4&gt;='mean-3Sigma'!AU3, Measurements!AU4&lt;='mean+3Sigma'!AU3)</f>
        <v>0</v>
      </c>
      <c r="AV4">
        <f>--AND(Measurements!AV4&gt;='mean-3Sigma'!AV3, Measurements!AV4&lt;='mean+3Sigma'!AV3)</f>
        <v>1</v>
      </c>
      <c r="AW4">
        <f>--AND(Measurements!AW4&gt;='mean-3Sigma'!AW3, Measurements!AW4&lt;='mean+3Sigma'!AW3)</f>
        <v>0</v>
      </c>
      <c r="AX4">
        <f>--AND(Measurements!AX4&gt;='mean-3Sigma'!AX3, Measurements!AX4&lt;='mean+3Sigma'!AX3)</f>
        <v>0</v>
      </c>
    </row>
    <row r="5" spans="1:50">
      <c r="A5">
        <v>15</v>
      </c>
      <c r="B5" s="16">
        <f>--AND(Measurements!B5&gt;='mean-3Sigma'!B2, Measurements!B5&lt;='mean+3Sigma'!B2)</f>
        <v>1</v>
      </c>
      <c r="C5" s="16">
        <f>--AND(Measurements!C5&gt;='mean-3Sigma'!C2, Measurements!C5&lt;='mean+3Sigma'!C2)</f>
        <v>1</v>
      </c>
      <c r="D5" s="16">
        <f>--AND(Measurements!D5&gt;='mean-3Sigma'!D2, Measurements!D5&lt;='mean+3Sigma'!D2)</f>
        <v>1</v>
      </c>
      <c r="E5" s="16">
        <f>--AND(Measurements!E5&gt;='mean-3Sigma'!E2, Measurements!E5&lt;='mean+3Sigma'!E2)</f>
        <v>1</v>
      </c>
      <c r="F5" s="16">
        <f>--AND(Measurements!F5&gt;='mean-3Sigma'!F2, Measurements!F5&lt;='mean+3Sigma'!F2)</f>
        <v>1</v>
      </c>
      <c r="G5" s="16">
        <f>--AND(Measurements!G5&gt;='mean-3Sigma'!G2, Measurements!G5&lt;='mean+3Sigma'!G2)</f>
        <v>1</v>
      </c>
      <c r="H5" s="16">
        <f>--AND(Measurements!H5&gt;='mean-3Sigma'!H2, Measurements!H5&lt;='mean+3Sigma'!H2)</f>
        <v>1</v>
      </c>
      <c r="I5" s="16">
        <f>--AND(Measurements!I5&gt;='mean-3Sigma'!I2, Measurements!I5&lt;='mean+3Sigma'!I2)</f>
        <v>1</v>
      </c>
      <c r="J5" s="16">
        <f>--AND(Measurements!J5&gt;='mean-3Sigma'!J2, Measurements!J5&lt;='mean+3Sigma'!J2)</f>
        <v>1</v>
      </c>
      <c r="K5" s="16">
        <f>--AND(Measurements!K5&gt;='mean-3Sigma'!K2, Measurements!K5&lt;='mean+3Sigma'!K2)</f>
        <v>1</v>
      </c>
      <c r="L5" s="16">
        <f>--AND(Measurements!L5&gt;='mean-3Sigma'!L2, Measurements!L5&lt;='mean+3Sigma'!L2)</f>
        <v>1</v>
      </c>
      <c r="M5" s="16">
        <f>--AND(Measurements!M5&gt;='mean-3Sigma'!M2, Measurements!M5&lt;='mean+3Sigma'!M2)</f>
        <v>1</v>
      </c>
      <c r="N5" s="16">
        <f>--AND(Measurements!N5&gt;='mean-3Sigma'!N2, Measurements!N5&lt;='mean+3Sigma'!N2)</f>
        <v>1</v>
      </c>
      <c r="O5" s="16">
        <f>--AND(Measurements!O5&gt;='mean-3Sigma'!O2, Measurements!O5&lt;='mean+3Sigma'!O2)</f>
        <v>1</v>
      </c>
      <c r="P5" s="16">
        <f>--AND(Measurements!P5&gt;='mean-3Sigma'!P2, Measurements!P5&lt;='mean+3Sigma'!P2)</f>
        <v>1</v>
      </c>
      <c r="Q5" s="16">
        <f>--AND(Measurements!Q5&gt;='mean-3Sigma'!Q2, Measurements!Q5&lt;='mean+3Sigma'!Q2)</f>
        <v>1</v>
      </c>
      <c r="R5" s="16">
        <f>--AND(Measurements!R5&gt;='mean-3Sigma'!R2, Measurements!R5&lt;='mean+3Sigma'!R2)</f>
        <v>1</v>
      </c>
      <c r="S5" s="16">
        <f>--AND(Measurements!S5&gt;='mean-3Sigma'!S2, Measurements!S5&lt;='mean+3Sigma'!S2)</f>
        <v>1</v>
      </c>
      <c r="T5" s="16">
        <f>--AND(Measurements!T5&gt;='mean-3Sigma'!T2, Measurements!T5&lt;='mean+3Sigma'!T2)</f>
        <v>1</v>
      </c>
      <c r="U5" s="16">
        <f>--AND(Measurements!U5&gt;='mean-3Sigma'!U2, Measurements!U5&lt;='mean+3Sigma'!U2)</f>
        <v>1</v>
      </c>
      <c r="V5" s="16">
        <f>--AND(Measurements!V5&gt;='mean-3Sigma'!V2, Measurements!V5&lt;='mean+3Sigma'!V2)</f>
        <v>1</v>
      </c>
      <c r="W5" s="16">
        <f>--AND(Measurements!W5&gt;='mean-3Sigma'!W2, Measurements!W5&lt;='mean+3Sigma'!W2)</f>
        <v>1</v>
      </c>
      <c r="X5" s="16">
        <f>--AND(Measurements!X5&gt;='mean-3Sigma'!X2, Measurements!X5&lt;='mean+3Sigma'!X2)</f>
        <v>1</v>
      </c>
      <c r="Y5" s="16">
        <f>--AND(Measurements!Y5&gt;='mean-3Sigma'!Y2, Measurements!Y5&lt;='mean+3Sigma'!Y2)</f>
        <v>1</v>
      </c>
      <c r="Z5" s="16">
        <f>--AND(Measurements!Z5&gt;='mean-3Sigma'!Z2, Measurements!Z5&lt;='mean+3Sigma'!Z2)</f>
        <v>1</v>
      </c>
      <c r="AA5" s="16">
        <f>--AND(Measurements!AA5&gt;='mean-3Sigma'!AA2, Measurements!AA5&lt;='mean+3Sigma'!AA2)</f>
        <v>1</v>
      </c>
      <c r="AB5" s="16">
        <f>--AND(Measurements!AB5&gt;='mean-3Sigma'!AB2, Measurements!AB5&lt;='mean+3Sigma'!AB2)</f>
        <v>1</v>
      </c>
      <c r="AC5" s="16">
        <f>--AND(Measurements!AC5&gt;='mean-3Sigma'!AC2, Measurements!AC5&lt;='mean+3Sigma'!AC2)</f>
        <v>1</v>
      </c>
      <c r="AD5" s="16">
        <f>--AND(Measurements!AD5&gt;='mean-3Sigma'!AD2, Measurements!AD5&lt;='mean+3Sigma'!AD2)</f>
        <v>1</v>
      </c>
      <c r="AE5" s="16">
        <f>--AND(Measurements!AE5&gt;='mean-3Sigma'!AE2, Measurements!AE5&lt;='mean+3Sigma'!AE2)</f>
        <v>1</v>
      </c>
      <c r="AF5" s="16">
        <f>--AND(Measurements!AF5&gt;='mean-3Sigma'!AF2, Measurements!AF5&lt;='mean+3Sigma'!AF2)</f>
        <v>1</v>
      </c>
      <c r="AG5" s="16">
        <f>--AND(Measurements!AG5&gt;='mean-3Sigma'!AG2, Measurements!AG5&lt;='mean+3Sigma'!AG2)</f>
        <v>1</v>
      </c>
      <c r="AH5" s="16">
        <f>--AND(Measurements!AH5&gt;='mean-3Sigma'!AH2, Measurements!AH5&lt;='mean+3Sigma'!AH2)</f>
        <v>1</v>
      </c>
      <c r="AI5" s="16">
        <f>--AND(Measurements!AI5&gt;='mean-3Sigma'!AI2, Measurements!AI5&lt;='mean+3Sigma'!AI2)</f>
        <v>1</v>
      </c>
      <c r="AJ5" s="16">
        <f>--AND(Measurements!AJ5&gt;='mean-3Sigma'!AJ2, Measurements!AJ5&lt;='mean+3Sigma'!AJ2)</f>
        <v>1</v>
      </c>
      <c r="AK5" s="16">
        <f>--AND(Measurements!AK5&gt;='mean-3Sigma'!AK2, Measurements!AK5&lt;='mean+3Sigma'!AK2)</f>
        <v>1</v>
      </c>
      <c r="AL5" s="16">
        <f>--AND(Measurements!AL5&gt;='mean-3Sigma'!AL2, Measurements!AL5&lt;='mean+3Sigma'!AL2)</f>
        <v>1</v>
      </c>
      <c r="AM5" s="16">
        <f>--AND(Measurements!AM5&gt;='mean-3Sigma'!AM2, Measurements!AM5&lt;='mean+3Sigma'!AM2)</f>
        <v>1</v>
      </c>
      <c r="AN5" s="16">
        <f>--AND(Measurements!AN5&gt;='mean-3Sigma'!AN2, Measurements!AN5&lt;='mean+3Sigma'!AN2)</f>
        <v>1</v>
      </c>
      <c r="AO5" s="16">
        <f>--AND(Measurements!AO5&gt;='mean-3Sigma'!AO2, Measurements!AO5&lt;='mean+3Sigma'!AO2)</f>
        <v>1</v>
      </c>
      <c r="AP5" s="16">
        <f>--AND(Measurements!AP5&gt;='mean-3Sigma'!AP2, Measurements!AP5&lt;='mean+3Sigma'!AP2)</f>
        <v>1</v>
      </c>
      <c r="AQ5" s="16">
        <f>--AND(Measurements!AQ5&gt;='mean-3Sigma'!AQ2, Measurements!AQ5&lt;='mean+3Sigma'!AQ2)</f>
        <v>1</v>
      </c>
      <c r="AR5" s="16">
        <f>--AND(Measurements!AR5&gt;='mean-3Sigma'!AR2, Measurements!AR5&lt;='mean+3Sigma'!AR2)</f>
        <v>1</v>
      </c>
      <c r="AS5" s="16">
        <f>--AND(Measurements!AS5&gt;='mean-3Sigma'!AS2, Measurements!AS5&lt;='mean+3Sigma'!AS2)</f>
        <v>0</v>
      </c>
      <c r="AT5" s="16">
        <f>--AND(Measurements!AT5&gt;='mean-3Sigma'!AT2, Measurements!AT5&lt;='mean+3Sigma'!AT2)</f>
        <v>1</v>
      </c>
      <c r="AU5" s="16">
        <f>--AND(Measurements!AU5&gt;='mean-3Sigma'!AU2, Measurements!AU5&lt;='mean+3Sigma'!AU2)</f>
        <v>0</v>
      </c>
      <c r="AV5" s="16">
        <f>--AND(Measurements!AV5&gt;='mean-3Sigma'!AV2, Measurements!AV5&lt;='mean+3Sigma'!AV2)</f>
        <v>1</v>
      </c>
      <c r="AW5" s="16">
        <f>--AND(Measurements!AW5&gt;='mean-3Sigma'!AW2, Measurements!AW5&lt;='mean+3Sigma'!AW2)</f>
        <v>1</v>
      </c>
      <c r="AX5" s="16">
        <f>--AND(Measurements!AX5&gt;='mean-3Sigma'!AX2, Measurements!AX5&lt;='mean+3Sigma'!AX2)</f>
        <v>1</v>
      </c>
    </row>
    <row r="6" spans="1:50">
      <c r="A6">
        <v>75</v>
      </c>
      <c r="B6" s="16">
        <f>--AND(Measurements!B6&gt;='mean-3Sigma'!B3, Measurements!B6&lt;='mean+3Sigma'!B3)</f>
        <v>1</v>
      </c>
      <c r="C6" s="16">
        <f>--AND(Measurements!C6&gt;='mean-3Sigma'!C3, Measurements!C6&lt;='mean+3Sigma'!C3)</f>
        <v>1</v>
      </c>
      <c r="D6" s="16">
        <f>--AND(Measurements!D6&gt;='mean-3Sigma'!D3, Measurements!D6&lt;='mean+3Sigma'!D3)</f>
        <v>1</v>
      </c>
      <c r="E6" s="16">
        <f>--AND(Measurements!E6&gt;='mean-3Sigma'!E3, Measurements!E6&lt;='mean+3Sigma'!E3)</f>
        <v>1</v>
      </c>
      <c r="F6" s="16">
        <f>--AND(Measurements!F6&gt;='mean-3Sigma'!F3, Measurements!F6&lt;='mean+3Sigma'!F3)</f>
        <v>1</v>
      </c>
      <c r="G6" s="16">
        <f>--AND(Measurements!G6&gt;='mean-3Sigma'!G3, Measurements!G6&lt;='mean+3Sigma'!G3)</f>
        <v>1</v>
      </c>
      <c r="H6" s="16">
        <f>--AND(Measurements!H6&gt;='mean-3Sigma'!H3, Measurements!H6&lt;='mean+3Sigma'!H3)</f>
        <v>1</v>
      </c>
      <c r="I6" s="16">
        <f>--AND(Measurements!I6&gt;='mean-3Sigma'!I3, Measurements!I6&lt;='mean+3Sigma'!I3)</f>
        <v>1</v>
      </c>
      <c r="J6" s="16">
        <f>--AND(Measurements!J6&gt;='mean-3Sigma'!J3, Measurements!J6&lt;='mean+3Sigma'!J3)</f>
        <v>1</v>
      </c>
      <c r="K6" s="16">
        <f>--AND(Measurements!K6&gt;='mean-3Sigma'!K3, Measurements!K6&lt;='mean+3Sigma'!K3)</f>
        <v>1</v>
      </c>
      <c r="L6" s="16">
        <f>--AND(Measurements!L6&gt;='mean-3Sigma'!L3, Measurements!L6&lt;='mean+3Sigma'!L3)</f>
        <v>1</v>
      </c>
      <c r="M6" s="16">
        <f>--AND(Measurements!M6&gt;='mean-3Sigma'!M3, Measurements!M6&lt;='mean+3Sigma'!M3)</f>
        <v>1</v>
      </c>
      <c r="N6" s="16">
        <f>--AND(Measurements!N6&gt;='mean-3Sigma'!N3, Measurements!N6&lt;='mean+3Sigma'!N3)</f>
        <v>1</v>
      </c>
      <c r="O6" s="16">
        <f>--AND(Measurements!O6&gt;='mean-3Sigma'!O3, Measurements!O6&lt;='mean+3Sigma'!O3)</f>
        <v>1</v>
      </c>
      <c r="P6" s="16">
        <f>--AND(Measurements!P6&gt;='mean-3Sigma'!P3, Measurements!P6&lt;='mean+3Sigma'!P3)</f>
        <v>1</v>
      </c>
      <c r="Q6" s="16">
        <f>--AND(Measurements!Q6&gt;='mean-3Sigma'!Q3, Measurements!Q6&lt;='mean+3Sigma'!Q3)</f>
        <v>1</v>
      </c>
      <c r="R6" s="16">
        <f>--AND(Measurements!R6&gt;='mean-3Sigma'!R3, Measurements!R6&lt;='mean+3Sigma'!R3)</f>
        <v>1</v>
      </c>
      <c r="S6" s="16">
        <f>--AND(Measurements!S6&gt;='mean-3Sigma'!S3, Measurements!S6&lt;='mean+3Sigma'!S3)</f>
        <v>1</v>
      </c>
      <c r="T6" s="16">
        <f>--AND(Measurements!T6&gt;='mean-3Sigma'!T3, Measurements!T6&lt;='mean+3Sigma'!T3)</f>
        <v>1</v>
      </c>
      <c r="U6" s="16">
        <f>--AND(Measurements!U6&gt;='mean-3Sigma'!U3, Measurements!U6&lt;='mean+3Sigma'!U3)</f>
        <v>1</v>
      </c>
      <c r="V6" s="16">
        <f>--AND(Measurements!V6&gt;='mean-3Sigma'!V3, Measurements!V6&lt;='mean+3Sigma'!V3)</f>
        <v>1</v>
      </c>
      <c r="W6" s="16">
        <f>--AND(Measurements!W6&gt;='mean-3Sigma'!W3, Measurements!W6&lt;='mean+3Sigma'!W3)</f>
        <v>1</v>
      </c>
      <c r="X6" s="16">
        <f>--AND(Measurements!X6&gt;='mean-3Sigma'!X3, Measurements!X6&lt;='mean+3Sigma'!X3)</f>
        <v>1</v>
      </c>
      <c r="Y6" s="16">
        <f>--AND(Measurements!Y6&gt;='mean-3Sigma'!Y3, Measurements!Y6&lt;='mean+3Sigma'!Y3)</f>
        <v>1</v>
      </c>
      <c r="Z6" s="16">
        <f>--AND(Measurements!Z6&gt;='mean-3Sigma'!Z3, Measurements!Z6&lt;='mean+3Sigma'!Z3)</f>
        <v>1</v>
      </c>
      <c r="AA6" s="16">
        <f>--AND(Measurements!AA6&gt;='mean-3Sigma'!AA3, Measurements!AA6&lt;='mean+3Sigma'!AA3)</f>
        <v>1</v>
      </c>
      <c r="AB6" s="16">
        <f>--AND(Measurements!AB6&gt;='mean-3Sigma'!AB3, Measurements!AB6&lt;='mean+3Sigma'!AB3)</f>
        <v>1</v>
      </c>
      <c r="AC6" s="16">
        <f>--AND(Measurements!AC6&gt;='mean-3Sigma'!AC3, Measurements!AC6&lt;='mean+3Sigma'!AC3)</f>
        <v>1</v>
      </c>
      <c r="AD6" s="16">
        <f>--AND(Measurements!AD6&gt;='mean-3Sigma'!AD3, Measurements!AD6&lt;='mean+3Sigma'!AD3)</f>
        <v>1</v>
      </c>
      <c r="AE6" s="16">
        <f>--AND(Measurements!AE6&gt;='mean-3Sigma'!AE3, Measurements!AE6&lt;='mean+3Sigma'!AE3)</f>
        <v>1</v>
      </c>
      <c r="AF6" s="16">
        <f>--AND(Measurements!AF6&gt;='mean-3Sigma'!AF3, Measurements!AF6&lt;='mean+3Sigma'!AF3)</f>
        <v>1</v>
      </c>
      <c r="AG6" s="16">
        <f>--AND(Measurements!AG6&gt;='mean-3Sigma'!AG3, Measurements!AG6&lt;='mean+3Sigma'!AG3)</f>
        <v>1</v>
      </c>
      <c r="AH6" s="16">
        <f>--AND(Measurements!AH6&gt;='mean-3Sigma'!AH3, Measurements!AH6&lt;='mean+3Sigma'!AH3)</f>
        <v>1</v>
      </c>
      <c r="AI6" s="16">
        <f>--AND(Measurements!AI6&gt;='mean-3Sigma'!AI3, Measurements!AI6&lt;='mean+3Sigma'!AI3)</f>
        <v>1</v>
      </c>
      <c r="AJ6" s="16">
        <f>--AND(Measurements!AJ6&gt;='mean-3Sigma'!AJ3, Measurements!AJ6&lt;='mean+3Sigma'!AJ3)</f>
        <v>1</v>
      </c>
      <c r="AK6" s="16">
        <f>--AND(Measurements!AK6&gt;='mean-3Sigma'!AK3, Measurements!AK6&lt;='mean+3Sigma'!AK3)</f>
        <v>1</v>
      </c>
      <c r="AL6" s="16">
        <f>--AND(Measurements!AL6&gt;='mean-3Sigma'!AL3, Measurements!AL6&lt;='mean+3Sigma'!AL3)</f>
        <v>0</v>
      </c>
      <c r="AM6" s="16">
        <f>--AND(Measurements!AM6&gt;='mean-3Sigma'!AM3, Measurements!AM6&lt;='mean+3Sigma'!AM3)</f>
        <v>1</v>
      </c>
      <c r="AN6" s="16">
        <f>--AND(Measurements!AN6&gt;='mean-3Sigma'!AN3, Measurements!AN6&lt;='mean+3Sigma'!AN3)</f>
        <v>1</v>
      </c>
      <c r="AO6" s="16">
        <f>--AND(Measurements!AO6&gt;='mean-3Sigma'!AO3, Measurements!AO6&lt;='mean+3Sigma'!AO3)</f>
        <v>1</v>
      </c>
      <c r="AP6" s="16">
        <f>--AND(Measurements!AP6&gt;='mean-3Sigma'!AP3, Measurements!AP6&lt;='mean+3Sigma'!AP3)</f>
        <v>1</v>
      </c>
      <c r="AQ6" s="16">
        <f>--AND(Measurements!AQ6&gt;='mean-3Sigma'!AQ3, Measurements!AQ6&lt;='mean+3Sigma'!AQ3)</f>
        <v>1</v>
      </c>
      <c r="AR6" s="16">
        <f>--AND(Measurements!AR6&gt;='mean-3Sigma'!AR3, Measurements!AR6&lt;='mean+3Sigma'!AR3)</f>
        <v>1</v>
      </c>
      <c r="AS6" s="16">
        <f>--AND(Measurements!AS6&gt;='mean-3Sigma'!AS3, Measurements!AS6&lt;='mean+3Sigma'!AS3)</f>
        <v>0</v>
      </c>
      <c r="AT6" s="16">
        <f>--AND(Measurements!AT6&gt;='mean-3Sigma'!AT3, Measurements!AT6&lt;='mean+3Sigma'!AT3)</f>
        <v>1</v>
      </c>
      <c r="AU6" s="16">
        <f>--AND(Measurements!AU6&gt;='mean-3Sigma'!AU3, Measurements!AU6&lt;='mean+3Sigma'!AU3)</f>
        <v>0</v>
      </c>
      <c r="AV6" s="16">
        <f>--AND(Measurements!AV6&gt;='mean-3Sigma'!AV3, Measurements!AV6&lt;='mean+3Sigma'!AV3)</f>
        <v>1</v>
      </c>
      <c r="AW6" s="16">
        <f>--AND(Measurements!AW6&gt;='mean-3Sigma'!AW3, Measurements!AW6&lt;='mean+3Sigma'!AW3)</f>
        <v>1</v>
      </c>
      <c r="AX6" s="16">
        <f>--AND(Measurements!AX6&gt;='mean-3Sigma'!AX3, Measurements!AX6&lt;='mean+3Sigma'!AX3)</f>
        <v>1</v>
      </c>
    </row>
    <row r="7" spans="1:50">
      <c r="A7">
        <v>75</v>
      </c>
      <c r="B7" s="16">
        <f>--AND(Measurements!B7&gt;='mean-3Sigma'!B4, Measurements!B7&lt;='mean+3Sigma'!B4)</f>
        <v>1</v>
      </c>
      <c r="C7" s="16">
        <f>--AND(Measurements!C7&gt;='mean-3Sigma'!C4, Measurements!C7&lt;='mean+3Sigma'!C4)</f>
        <v>1</v>
      </c>
      <c r="D7" s="16">
        <f>--AND(Measurements!D7&gt;='mean-3Sigma'!D4, Measurements!D7&lt;='mean+3Sigma'!D4)</f>
        <v>1</v>
      </c>
      <c r="E7" s="16">
        <f>--AND(Measurements!E7&gt;='mean-3Sigma'!E4, Measurements!E7&lt;='mean+3Sigma'!E4)</f>
        <v>1</v>
      </c>
      <c r="F7" s="16">
        <f>--AND(Measurements!F7&gt;='mean-3Sigma'!F4, Measurements!F7&lt;='mean+3Sigma'!F4)</f>
        <v>1</v>
      </c>
      <c r="G7" s="16">
        <f>--AND(Measurements!G7&gt;='mean-3Sigma'!G4, Measurements!G7&lt;='mean+3Sigma'!G4)</f>
        <v>1</v>
      </c>
      <c r="H7" s="16">
        <f>--AND(Measurements!H7&gt;='mean-3Sigma'!H4, Measurements!H7&lt;='mean+3Sigma'!H4)</f>
        <v>1</v>
      </c>
      <c r="I7" s="16">
        <f>--AND(Measurements!I7&gt;='mean-3Sigma'!I4, Measurements!I7&lt;='mean+3Sigma'!I4)</f>
        <v>1</v>
      </c>
      <c r="J7" s="16">
        <f>--AND(Measurements!J7&gt;='mean-3Sigma'!J4, Measurements!J7&lt;='mean+3Sigma'!J4)</f>
        <v>1</v>
      </c>
      <c r="K7" s="16">
        <f>--AND(Measurements!K7&gt;='mean-3Sigma'!K4, Measurements!K7&lt;='mean+3Sigma'!K4)</f>
        <v>1</v>
      </c>
      <c r="L7" s="16">
        <f>--AND(Measurements!L7&gt;='mean-3Sigma'!L4, Measurements!L7&lt;='mean+3Sigma'!L4)</f>
        <v>1</v>
      </c>
      <c r="M7" s="16">
        <f>--AND(Measurements!M7&gt;='mean-3Sigma'!M4, Measurements!M7&lt;='mean+3Sigma'!M4)</f>
        <v>1</v>
      </c>
      <c r="N7" s="16">
        <f>--AND(Measurements!N7&gt;='mean-3Sigma'!N4, Measurements!N7&lt;='mean+3Sigma'!N4)</f>
        <v>1</v>
      </c>
      <c r="O7" s="16">
        <f>--AND(Measurements!O7&gt;='mean-3Sigma'!O4, Measurements!O7&lt;='mean+3Sigma'!O4)</f>
        <v>1</v>
      </c>
      <c r="P7" s="16">
        <f>--AND(Measurements!P7&gt;='mean-3Sigma'!P4, Measurements!P7&lt;='mean+3Sigma'!P4)</f>
        <v>1</v>
      </c>
      <c r="Q7" s="16">
        <f>--AND(Measurements!Q7&gt;='mean-3Sigma'!Q4, Measurements!Q7&lt;='mean+3Sigma'!Q4)</f>
        <v>1</v>
      </c>
      <c r="R7" s="16">
        <f>--AND(Measurements!R7&gt;='mean-3Sigma'!R4, Measurements!R7&lt;='mean+3Sigma'!R4)</f>
        <v>1</v>
      </c>
      <c r="S7" s="16">
        <f>--AND(Measurements!S7&gt;='mean-3Sigma'!S4, Measurements!S7&lt;='mean+3Sigma'!S4)</f>
        <v>1</v>
      </c>
      <c r="T7" s="16">
        <f>--AND(Measurements!T7&gt;='mean-3Sigma'!T4, Measurements!T7&lt;='mean+3Sigma'!T4)</f>
        <v>1</v>
      </c>
      <c r="U7" s="16">
        <f>--AND(Measurements!U7&gt;='mean-3Sigma'!U4, Measurements!U7&lt;='mean+3Sigma'!U4)</f>
        <v>1</v>
      </c>
      <c r="V7" s="16">
        <f>--AND(Measurements!V7&gt;='mean-3Sigma'!V4, Measurements!V7&lt;='mean+3Sigma'!V4)</f>
        <v>1</v>
      </c>
      <c r="W7" s="16">
        <f>--AND(Measurements!W7&gt;='mean-3Sigma'!W4, Measurements!W7&lt;='mean+3Sigma'!W4)</f>
        <v>1</v>
      </c>
      <c r="X7" s="16">
        <f>--AND(Measurements!X7&gt;='mean-3Sigma'!X4, Measurements!X7&lt;='mean+3Sigma'!X4)</f>
        <v>1</v>
      </c>
      <c r="Y7" s="16">
        <f>--AND(Measurements!Y7&gt;='mean-3Sigma'!Y4, Measurements!Y7&lt;='mean+3Sigma'!Y4)</f>
        <v>1</v>
      </c>
      <c r="Z7" s="16">
        <f>--AND(Measurements!Z7&gt;='mean-3Sigma'!Z4, Measurements!Z7&lt;='mean+3Sigma'!Z4)</f>
        <v>1</v>
      </c>
      <c r="AA7" s="16">
        <f>--AND(Measurements!AA7&gt;='mean-3Sigma'!AA4, Measurements!AA7&lt;='mean+3Sigma'!AA4)</f>
        <v>1</v>
      </c>
      <c r="AB7" s="16">
        <f>--AND(Measurements!AB7&gt;='mean-3Sigma'!AB4, Measurements!AB7&lt;='mean+3Sigma'!AB4)</f>
        <v>1</v>
      </c>
      <c r="AC7" s="16">
        <f>--AND(Measurements!AC7&gt;='mean-3Sigma'!AC4, Measurements!AC7&lt;='mean+3Sigma'!AC4)</f>
        <v>1</v>
      </c>
      <c r="AD7" s="16">
        <f>--AND(Measurements!AD7&gt;='mean-3Sigma'!AD4, Measurements!AD7&lt;='mean+3Sigma'!AD4)</f>
        <v>1</v>
      </c>
      <c r="AE7" s="16">
        <f>--AND(Measurements!AE7&gt;='mean-3Sigma'!AE4, Measurements!AE7&lt;='mean+3Sigma'!AE4)</f>
        <v>1</v>
      </c>
      <c r="AF7" s="16">
        <f>--AND(Measurements!AF7&gt;='mean-3Sigma'!AF4, Measurements!AF7&lt;='mean+3Sigma'!AF4)</f>
        <v>1</v>
      </c>
      <c r="AG7" s="16">
        <f>--AND(Measurements!AG7&gt;='mean-3Sigma'!AG4, Measurements!AG7&lt;='mean+3Sigma'!AG4)</f>
        <v>1</v>
      </c>
      <c r="AH7" s="16">
        <f>--AND(Measurements!AH7&gt;='mean-3Sigma'!AH4, Measurements!AH7&lt;='mean+3Sigma'!AH4)</f>
        <v>1</v>
      </c>
      <c r="AI7" s="16">
        <f>--AND(Measurements!AI7&gt;='mean-3Sigma'!AI4, Measurements!AI7&lt;='mean+3Sigma'!AI4)</f>
        <v>1</v>
      </c>
      <c r="AJ7" s="16">
        <f>--AND(Measurements!AJ7&gt;='mean-3Sigma'!AJ4, Measurements!AJ7&lt;='mean+3Sigma'!AJ4)</f>
        <v>1</v>
      </c>
      <c r="AK7" s="16">
        <f>--AND(Measurements!AK7&gt;='mean-3Sigma'!AK4, Measurements!AK7&lt;='mean+3Sigma'!AK4)</f>
        <v>1</v>
      </c>
      <c r="AL7" s="16">
        <f>--AND(Measurements!AL7&gt;='mean-3Sigma'!AL4, Measurements!AL7&lt;='mean+3Sigma'!AL4)</f>
        <v>0</v>
      </c>
      <c r="AM7" s="16">
        <f>--AND(Measurements!AM7&gt;='mean-3Sigma'!AM4, Measurements!AM7&lt;='mean+3Sigma'!AM4)</f>
        <v>1</v>
      </c>
      <c r="AN7" s="16">
        <f>--AND(Measurements!AN7&gt;='mean-3Sigma'!AN4, Measurements!AN7&lt;='mean+3Sigma'!AN4)</f>
        <v>1</v>
      </c>
      <c r="AO7" s="16">
        <f>--AND(Measurements!AO7&gt;='mean-3Sigma'!AO4, Measurements!AO7&lt;='mean+3Sigma'!AO4)</f>
        <v>1</v>
      </c>
      <c r="AP7" s="16">
        <f>--AND(Measurements!AP7&gt;='mean-3Sigma'!AP4, Measurements!AP7&lt;='mean+3Sigma'!AP4)</f>
        <v>1</v>
      </c>
      <c r="AQ7" s="16">
        <f>--AND(Measurements!AQ7&gt;='mean-3Sigma'!AQ4, Measurements!AQ7&lt;='mean+3Sigma'!AQ4)</f>
        <v>1</v>
      </c>
      <c r="AR7" s="16">
        <f>--AND(Measurements!AR7&gt;='mean-3Sigma'!AR4, Measurements!AR7&lt;='mean+3Sigma'!AR4)</f>
        <v>1</v>
      </c>
      <c r="AS7" s="16">
        <f>--AND(Measurements!AS7&gt;='mean-3Sigma'!AS4, Measurements!AS7&lt;='mean+3Sigma'!AS4)</f>
        <v>0</v>
      </c>
      <c r="AT7" s="16">
        <f>--AND(Measurements!AT7&gt;='mean-3Sigma'!AT4, Measurements!AT7&lt;='mean+3Sigma'!AT4)</f>
        <v>1</v>
      </c>
      <c r="AU7" s="16">
        <f>--AND(Measurements!AU7&gt;='mean-3Sigma'!AU4, Measurements!AU7&lt;='mean+3Sigma'!AU4)</f>
        <v>0</v>
      </c>
      <c r="AV7" s="16">
        <f>--AND(Measurements!AV7&gt;='mean-3Sigma'!AV4, Measurements!AV7&lt;='mean+3Sigma'!AV4)</f>
        <v>1</v>
      </c>
      <c r="AW7" s="16">
        <f>--AND(Measurements!AW7&gt;='mean-3Sigma'!AW4, Measurements!AW7&lt;='mean+3Sigma'!AW4)</f>
        <v>1</v>
      </c>
      <c r="AX7" s="16">
        <f>--AND(Measurements!AX7&gt;='mean-3Sigma'!AX4, Measurements!AX7&lt;='mean+3Sigma'!AX4)</f>
        <v>1</v>
      </c>
    </row>
    <row r="8" spans="1:50">
      <c r="A8">
        <v>75</v>
      </c>
      <c r="B8" s="16">
        <f>--AND(Measurements!B8&gt;='mean-3Sigma'!B5, Measurements!B8&lt;='mean+3Sigma'!B5)</f>
        <v>1</v>
      </c>
      <c r="C8" s="16">
        <f>--AND(Measurements!C8&gt;='mean-3Sigma'!C5, Measurements!C8&lt;='mean+3Sigma'!C5)</f>
        <v>1</v>
      </c>
      <c r="D8" s="16">
        <f>--AND(Measurements!D8&gt;='mean-3Sigma'!D5, Measurements!D8&lt;='mean+3Sigma'!D5)</f>
        <v>1</v>
      </c>
      <c r="E8" s="16">
        <f>--AND(Measurements!E8&gt;='mean-3Sigma'!E5, Measurements!E8&lt;='mean+3Sigma'!E5)</f>
        <v>1</v>
      </c>
      <c r="F8" s="16">
        <f>--AND(Measurements!F8&gt;='mean-3Sigma'!F5, Measurements!F8&lt;='mean+3Sigma'!F5)</f>
        <v>1</v>
      </c>
      <c r="G8" s="16">
        <f>--AND(Measurements!G8&gt;='mean-3Sigma'!G5, Measurements!G8&lt;='mean+3Sigma'!G5)</f>
        <v>1</v>
      </c>
      <c r="H8" s="16">
        <f>--AND(Measurements!H8&gt;='mean-3Sigma'!H5, Measurements!H8&lt;='mean+3Sigma'!H5)</f>
        <v>1</v>
      </c>
      <c r="I8" s="16">
        <f>--AND(Measurements!I8&gt;='mean-3Sigma'!I5, Measurements!I8&lt;='mean+3Sigma'!I5)</f>
        <v>1</v>
      </c>
      <c r="J8" s="16">
        <f>--AND(Measurements!J8&gt;='mean-3Sigma'!J5, Measurements!J8&lt;='mean+3Sigma'!J5)</f>
        <v>1</v>
      </c>
      <c r="K8" s="16">
        <f>--AND(Measurements!K8&gt;='mean-3Sigma'!K5, Measurements!K8&lt;='mean+3Sigma'!K5)</f>
        <v>1</v>
      </c>
      <c r="L8" s="16">
        <f>--AND(Measurements!L8&gt;='mean-3Sigma'!L5, Measurements!L8&lt;='mean+3Sigma'!L5)</f>
        <v>1</v>
      </c>
      <c r="M8" s="16">
        <f>--AND(Measurements!M8&gt;='mean-3Sigma'!M5, Measurements!M8&lt;='mean+3Sigma'!M5)</f>
        <v>1</v>
      </c>
      <c r="N8" s="16">
        <f>--AND(Measurements!N8&gt;='mean-3Sigma'!N5, Measurements!N8&lt;='mean+3Sigma'!N5)</f>
        <v>1</v>
      </c>
      <c r="O8" s="16">
        <f>--AND(Measurements!O8&gt;='mean-3Sigma'!O5, Measurements!O8&lt;='mean+3Sigma'!O5)</f>
        <v>1</v>
      </c>
      <c r="P8" s="16">
        <f>--AND(Measurements!P8&gt;='mean-3Sigma'!P5, Measurements!P8&lt;='mean+3Sigma'!P5)</f>
        <v>1</v>
      </c>
      <c r="Q8" s="16">
        <f>--AND(Measurements!Q8&gt;='mean-3Sigma'!Q5, Measurements!Q8&lt;='mean+3Sigma'!Q5)</f>
        <v>1</v>
      </c>
      <c r="R8" s="16">
        <f>--AND(Measurements!R8&gt;='mean-3Sigma'!R5, Measurements!R8&lt;='mean+3Sigma'!R5)</f>
        <v>1</v>
      </c>
      <c r="S8" s="16">
        <f>--AND(Measurements!S8&gt;='mean-3Sigma'!S5, Measurements!S8&lt;='mean+3Sigma'!S5)</f>
        <v>1</v>
      </c>
      <c r="T8" s="16">
        <f>--AND(Measurements!T8&gt;='mean-3Sigma'!T5, Measurements!T8&lt;='mean+3Sigma'!T5)</f>
        <v>1</v>
      </c>
      <c r="U8" s="16">
        <f>--AND(Measurements!U8&gt;='mean-3Sigma'!U5, Measurements!U8&lt;='mean+3Sigma'!U5)</f>
        <v>1</v>
      </c>
      <c r="V8" s="16">
        <f>--AND(Measurements!V8&gt;='mean-3Sigma'!V5, Measurements!V8&lt;='mean+3Sigma'!V5)</f>
        <v>1</v>
      </c>
      <c r="W8" s="16">
        <f>--AND(Measurements!W8&gt;='mean-3Sigma'!W5, Measurements!W8&lt;='mean+3Sigma'!W5)</f>
        <v>1</v>
      </c>
      <c r="X8" s="16">
        <f>--AND(Measurements!X8&gt;='mean-3Sigma'!X5, Measurements!X8&lt;='mean+3Sigma'!X5)</f>
        <v>1</v>
      </c>
      <c r="Y8" s="16">
        <f>--AND(Measurements!Y8&gt;='mean-3Sigma'!Y5, Measurements!Y8&lt;='mean+3Sigma'!Y5)</f>
        <v>1</v>
      </c>
      <c r="Z8" s="16">
        <f>--AND(Measurements!Z8&gt;='mean-3Sigma'!Z5, Measurements!Z8&lt;='mean+3Sigma'!Z5)</f>
        <v>1</v>
      </c>
      <c r="AA8" s="16">
        <f>--AND(Measurements!AA8&gt;='mean-3Sigma'!AA5, Measurements!AA8&lt;='mean+3Sigma'!AA5)</f>
        <v>1</v>
      </c>
      <c r="AB8" s="16">
        <f>--AND(Measurements!AB8&gt;='mean-3Sigma'!AB5, Measurements!AB8&lt;='mean+3Sigma'!AB5)</f>
        <v>1</v>
      </c>
      <c r="AC8" s="16">
        <f>--AND(Measurements!AC8&gt;='mean-3Sigma'!AC5, Measurements!AC8&lt;='mean+3Sigma'!AC5)</f>
        <v>1</v>
      </c>
      <c r="AD8" s="16">
        <f>--AND(Measurements!AD8&gt;='mean-3Sigma'!AD5, Measurements!AD8&lt;='mean+3Sigma'!AD5)</f>
        <v>1</v>
      </c>
      <c r="AE8" s="16">
        <f>--AND(Measurements!AE8&gt;='mean-3Sigma'!AE5, Measurements!AE8&lt;='mean+3Sigma'!AE5)</f>
        <v>1</v>
      </c>
      <c r="AF8" s="16">
        <f>--AND(Measurements!AF8&gt;='mean-3Sigma'!AF5, Measurements!AF8&lt;='mean+3Sigma'!AF5)</f>
        <v>1</v>
      </c>
      <c r="AG8" s="16">
        <f>--AND(Measurements!AG8&gt;='mean-3Sigma'!AG5, Measurements!AG8&lt;='mean+3Sigma'!AG5)</f>
        <v>1</v>
      </c>
      <c r="AH8" s="16">
        <f>--AND(Measurements!AH8&gt;='mean-3Sigma'!AH5, Measurements!AH8&lt;='mean+3Sigma'!AH5)</f>
        <v>1</v>
      </c>
      <c r="AI8" s="16">
        <f>--AND(Measurements!AI8&gt;='mean-3Sigma'!AI5, Measurements!AI8&lt;='mean+3Sigma'!AI5)</f>
        <v>1</v>
      </c>
      <c r="AJ8" s="16">
        <f>--AND(Measurements!AJ8&gt;='mean-3Sigma'!AJ5, Measurements!AJ8&lt;='mean+3Sigma'!AJ5)</f>
        <v>1</v>
      </c>
      <c r="AK8" s="16">
        <f>--AND(Measurements!AK8&gt;='mean-3Sigma'!AK5, Measurements!AK8&lt;='mean+3Sigma'!AK5)</f>
        <v>1</v>
      </c>
      <c r="AL8" s="16">
        <f>--AND(Measurements!AL8&gt;='mean-3Sigma'!AL5, Measurements!AL8&lt;='mean+3Sigma'!AL5)</f>
        <v>0</v>
      </c>
      <c r="AM8" s="16">
        <f>--AND(Measurements!AM8&gt;='mean-3Sigma'!AM5, Measurements!AM8&lt;='mean+3Sigma'!AM5)</f>
        <v>1</v>
      </c>
      <c r="AN8" s="16">
        <f>--AND(Measurements!AN8&gt;='mean-3Sigma'!AN5, Measurements!AN8&lt;='mean+3Sigma'!AN5)</f>
        <v>1</v>
      </c>
      <c r="AO8" s="16">
        <f>--AND(Measurements!AO8&gt;='mean-3Sigma'!AO5, Measurements!AO8&lt;='mean+3Sigma'!AO5)</f>
        <v>1</v>
      </c>
      <c r="AP8" s="16">
        <f>--AND(Measurements!AP8&gt;='mean-3Sigma'!AP5, Measurements!AP8&lt;='mean+3Sigma'!AP5)</f>
        <v>1</v>
      </c>
      <c r="AQ8" s="16">
        <f>--AND(Measurements!AQ8&gt;='mean-3Sigma'!AQ5, Measurements!AQ8&lt;='mean+3Sigma'!AQ5)</f>
        <v>1</v>
      </c>
      <c r="AR8" s="16">
        <f>--AND(Measurements!AR8&gt;='mean-3Sigma'!AR5, Measurements!AR8&lt;='mean+3Sigma'!AR5)</f>
        <v>1</v>
      </c>
      <c r="AS8" s="16">
        <f>--AND(Measurements!AS8&gt;='mean-3Sigma'!AS5, Measurements!AS8&lt;='mean+3Sigma'!AS5)</f>
        <v>0</v>
      </c>
      <c r="AT8" s="16">
        <f>--AND(Measurements!AT8&gt;='mean-3Sigma'!AT5, Measurements!AT8&lt;='mean+3Sigma'!AT5)</f>
        <v>1</v>
      </c>
      <c r="AU8" s="16">
        <f>--AND(Measurements!AU8&gt;='mean-3Sigma'!AU5, Measurements!AU8&lt;='mean+3Sigma'!AU5)</f>
        <v>0</v>
      </c>
      <c r="AV8" s="16">
        <f>--AND(Measurements!AV8&gt;='mean-3Sigma'!AV5, Measurements!AV8&lt;='mean+3Sigma'!AV5)</f>
        <v>1</v>
      </c>
      <c r="AW8" s="16">
        <f>--AND(Measurements!AW8&gt;='mean-3Sigma'!AW5, Measurements!AW8&lt;='mean+3Sigma'!AW5)</f>
        <v>1</v>
      </c>
      <c r="AX8" s="16">
        <f>--AND(Measurements!AX8&gt;='mean-3Sigma'!AX5, Measurements!AX8&lt;='mean+3Sigma'!AX5)</f>
        <v>1</v>
      </c>
    </row>
    <row r="9" spans="1:50">
      <c r="A9">
        <v>135</v>
      </c>
      <c r="B9" s="16">
        <f>--AND(Measurements!B9&gt;='mean-3Sigma'!B6, Measurements!B9&lt;='mean+3Sigma'!B6)</f>
        <v>1</v>
      </c>
      <c r="C9" s="16">
        <f>--AND(Measurements!C9&gt;='mean-3Sigma'!C6, Measurements!C9&lt;='mean+3Sigma'!C6)</f>
        <v>1</v>
      </c>
      <c r="D9" s="16">
        <f>--AND(Measurements!D9&gt;='mean-3Sigma'!D6, Measurements!D9&lt;='mean+3Sigma'!D6)</f>
        <v>1</v>
      </c>
      <c r="E9" s="16">
        <f>--AND(Measurements!E9&gt;='mean-3Sigma'!E6, Measurements!E9&lt;='mean+3Sigma'!E6)</f>
        <v>1</v>
      </c>
      <c r="F9" s="16">
        <f>--AND(Measurements!F9&gt;='mean-3Sigma'!F6, Measurements!F9&lt;='mean+3Sigma'!F6)</f>
        <v>1</v>
      </c>
      <c r="G9" s="16">
        <f>--AND(Measurements!G9&gt;='mean-3Sigma'!G6, Measurements!G9&lt;='mean+3Sigma'!G6)</f>
        <v>1</v>
      </c>
      <c r="H9" s="16">
        <f>--AND(Measurements!H9&gt;='mean-3Sigma'!H6, Measurements!H9&lt;='mean+3Sigma'!H6)</f>
        <v>1</v>
      </c>
      <c r="I9" s="16">
        <f>--AND(Measurements!I9&gt;='mean-3Sigma'!I6, Measurements!I9&lt;='mean+3Sigma'!I6)</f>
        <v>1</v>
      </c>
      <c r="J9" s="16">
        <f>--AND(Measurements!J9&gt;='mean-3Sigma'!J6, Measurements!J9&lt;='mean+3Sigma'!J6)</f>
        <v>1</v>
      </c>
      <c r="K9" s="16">
        <f>--AND(Measurements!K9&gt;='mean-3Sigma'!K6, Measurements!K9&lt;='mean+3Sigma'!K6)</f>
        <v>1</v>
      </c>
      <c r="L9" s="16">
        <f>--AND(Measurements!L9&gt;='mean-3Sigma'!L6, Measurements!L9&lt;='mean+3Sigma'!L6)</f>
        <v>1</v>
      </c>
      <c r="M9" s="16">
        <f>--AND(Measurements!M9&gt;='mean-3Sigma'!M6, Measurements!M9&lt;='mean+3Sigma'!M6)</f>
        <v>1</v>
      </c>
      <c r="N9" s="16">
        <f>--AND(Measurements!N9&gt;='mean-3Sigma'!N6, Measurements!N9&lt;='mean+3Sigma'!N6)</f>
        <v>1</v>
      </c>
      <c r="O9" s="16">
        <f>--AND(Measurements!O9&gt;='mean-3Sigma'!O6, Measurements!O9&lt;='mean+3Sigma'!O6)</f>
        <v>1</v>
      </c>
      <c r="P9" s="16">
        <f>--AND(Measurements!P9&gt;='mean-3Sigma'!P6, Measurements!P9&lt;='mean+3Sigma'!P6)</f>
        <v>1</v>
      </c>
      <c r="Q9" s="16">
        <f>--AND(Measurements!Q9&gt;='mean-3Sigma'!Q6, Measurements!Q9&lt;='mean+3Sigma'!Q6)</f>
        <v>1</v>
      </c>
      <c r="R9" s="16">
        <f>--AND(Measurements!R9&gt;='mean-3Sigma'!R6, Measurements!R9&lt;='mean+3Sigma'!R6)</f>
        <v>1</v>
      </c>
      <c r="S9" s="16">
        <f>--AND(Measurements!S9&gt;='mean-3Sigma'!S6, Measurements!S9&lt;='mean+3Sigma'!S6)</f>
        <v>1</v>
      </c>
      <c r="T9" s="16">
        <f>--AND(Measurements!T9&gt;='mean-3Sigma'!T6, Measurements!T9&lt;='mean+3Sigma'!T6)</f>
        <v>1</v>
      </c>
      <c r="U9" s="16">
        <f>--AND(Measurements!U9&gt;='mean-3Sigma'!U6, Measurements!U9&lt;='mean+3Sigma'!U6)</f>
        <v>1</v>
      </c>
      <c r="V9" s="16">
        <f>--AND(Measurements!V9&gt;='mean-3Sigma'!V6, Measurements!V9&lt;='mean+3Sigma'!V6)</f>
        <v>1</v>
      </c>
      <c r="W9" s="16">
        <f>--AND(Measurements!W9&gt;='mean-3Sigma'!W6, Measurements!W9&lt;='mean+3Sigma'!W6)</f>
        <v>1</v>
      </c>
      <c r="X9" s="16">
        <f>--AND(Measurements!X9&gt;='mean-3Sigma'!X6, Measurements!X9&lt;='mean+3Sigma'!X6)</f>
        <v>1</v>
      </c>
      <c r="Y9" s="16">
        <f>--AND(Measurements!Y9&gt;='mean-3Sigma'!Y6, Measurements!Y9&lt;='mean+3Sigma'!Y6)</f>
        <v>1</v>
      </c>
      <c r="Z9" s="16">
        <f>--AND(Measurements!Z9&gt;='mean-3Sigma'!Z6, Measurements!Z9&lt;='mean+3Sigma'!Z6)</f>
        <v>1</v>
      </c>
      <c r="AA9" s="16">
        <f>--AND(Measurements!AA9&gt;='mean-3Sigma'!AA6, Measurements!AA9&lt;='mean+3Sigma'!AA6)</f>
        <v>1</v>
      </c>
      <c r="AB9" s="16">
        <f>--AND(Measurements!AB9&gt;='mean-3Sigma'!AB6, Measurements!AB9&lt;='mean+3Sigma'!AB6)</f>
        <v>1</v>
      </c>
      <c r="AC9" s="16">
        <f>--AND(Measurements!AC9&gt;='mean-3Sigma'!AC6, Measurements!AC9&lt;='mean+3Sigma'!AC6)</f>
        <v>1</v>
      </c>
      <c r="AD9" s="16">
        <f>--AND(Measurements!AD9&gt;='mean-3Sigma'!AD6, Measurements!AD9&lt;='mean+3Sigma'!AD6)</f>
        <v>1</v>
      </c>
      <c r="AE9" s="16">
        <f>--AND(Measurements!AE9&gt;='mean-3Sigma'!AE6, Measurements!AE9&lt;='mean+3Sigma'!AE6)</f>
        <v>1</v>
      </c>
      <c r="AF9" s="16">
        <f>--AND(Measurements!AF9&gt;='mean-3Sigma'!AF6, Measurements!AF9&lt;='mean+3Sigma'!AF6)</f>
        <v>1</v>
      </c>
      <c r="AG9" s="16">
        <f>--AND(Measurements!AG9&gt;='mean-3Sigma'!AG6, Measurements!AG9&lt;='mean+3Sigma'!AG6)</f>
        <v>1</v>
      </c>
      <c r="AH9" s="16">
        <f>--AND(Measurements!AH9&gt;='mean-3Sigma'!AH6, Measurements!AH9&lt;='mean+3Sigma'!AH6)</f>
        <v>1</v>
      </c>
      <c r="AI9" s="16">
        <f>--AND(Measurements!AI9&gt;='mean-3Sigma'!AI6, Measurements!AI9&lt;='mean+3Sigma'!AI6)</f>
        <v>1</v>
      </c>
      <c r="AJ9" s="16">
        <f>--AND(Measurements!AJ9&gt;='mean-3Sigma'!AJ6, Measurements!AJ9&lt;='mean+3Sigma'!AJ6)</f>
        <v>1</v>
      </c>
      <c r="AK9" s="16">
        <f>--AND(Measurements!AK9&gt;='mean-3Sigma'!AK6, Measurements!AK9&lt;='mean+3Sigma'!AK6)</f>
        <v>0</v>
      </c>
      <c r="AL9" s="16">
        <f>--AND(Measurements!AL9&gt;='mean-3Sigma'!AL6, Measurements!AL9&lt;='mean+3Sigma'!AL6)</f>
        <v>0</v>
      </c>
      <c r="AM9" s="16">
        <f>--AND(Measurements!AM9&gt;='mean-3Sigma'!AM6, Measurements!AM9&lt;='mean+3Sigma'!AM6)</f>
        <v>1</v>
      </c>
      <c r="AN9" s="16">
        <f>--AND(Measurements!AN9&gt;='mean-3Sigma'!AN6, Measurements!AN9&lt;='mean+3Sigma'!AN6)</f>
        <v>1</v>
      </c>
      <c r="AO9" s="16">
        <f>--AND(Measurements!AO9&gt;='mean-3Sigma'!AO6, Measurements!AO9&lt;='mean+3Sigma'!AO6)</f>
        <v>1</v>
      </c>
      <c r="AP9" s="16">
        <f>--AND(Measurements!AP9&gt;='mean-3Sigma'!AP6, Measurements!AP9&lt;='mean+3Sigma'!AP6)</f>
        <v>1</v>
      </c>
      <c r="AQ9" s="16">
        <f>--AND(Measurements!AQ9&gt;='mean-3Sigma'!AQ6, Measurements!AQ9&lt;='mean+3Sigma'!AQ6)</f>
        <v>1</v>
      </c>
      <c r="AR9" s="16">
        <f>--AND(Measurements!AR9&gt;='mean-3Sigma'!AR6, Measurements!AR9&lt;='mean+3Sigma'!AR6)</f>
        <v>1</v>
      </c>
      <c r="AS9" s="16">
        <f>--AND(Measurements!AS9&gt;='mean-3Sigma'!AS6, Measurements!AS9&lt;='mean+3Sigma'!AS6)</f>
        <v>0</v>
      </c>
      <c r="AT9" s="16">
        <f>--AND(Measurements!AT9&gt;='mean-3Sigma'!AT6, Measurements!AT9&lt;='mean+3Sigma'!AT6)</f>
        <v>1</v>
      </c>
      <c r="AU9" s="16">
        <f>--AND(Measurements!AU9&gt;='mean-3Sigma'!AU6, Measurements!AU9&lt;='mean+3Sigma'!AU6)</f>
        <v>0</v>
      </c>
      <c r="AV9" s="16">
        <f>--AND(Measurements!AV9&gt;='mean-3Sigma'!AV6, Measurements!AV9&lt;='mean+3Sigma'!AV6)</f>
        <v>1</v>
      </c>
      <c r="AW9" s="16">
        <f>--AND(Measurements!AW9&gt;='mean-3Sigma'!AW6, Measurements!AW9&lt;='mean+3Sigma'!AW6)</f>
        <v>1</v>
      </c>
      <c r="AX9" s="16">
        <f>--AND(Measurements!AX9&gt;='mean-3Sigma'!AX6, Measurements!AX9&lt;='mean+3Sigma'!AX6)</f>
        <v>1</v>
      </c>
    </row>
    <row r="10" spans="1:50">
      <c r="A10">
        <v>135</v>
      </c>
      <c r="B10" s="16">
        <f>--AND(Measurements!B10&gt;='mean-3Sigma'!B7, Measurements!B10&lt;='mean+3Sigma'!B7)</f>
        <v>1</v>
      </c>
      <c r="C10" s="16">
        <f>--AND(Measurements!C10&gt;='mean-3Sigma'!C7, Measurements!C10&lt;='mean+3Sigma'!C7)</f>
        <v>1</v>
      </c>
      <c r="D10" s="16">
        <f>--AND(Measurements!D10&gt;='mean-3Sigma'!D7, Measurements!D10&lt;='mean+3Sigma'!D7)</f>
        <v>1</v>
      </c>
      <c r="E10" s="16">
        <f>--AND(Measurements!E10&gt;='mean-3Sigma'!E7, Measurements!E10&lt;='mean+3Sigma'!E7)</f>
        <v>1</v>
      </c>
      <c r="F10" s="16">
        <f>--AND(Measurements!F10&gt;='mean-3Sigma'!F7, Measurements!F10&lt;='mean+3Sigma'!F7)</f>
        <v>1</v>
      </c>
      <c r="G10" s="16">
        <f>--AND(Measurements!G10&gt;='mean-3Sigma'!G7, Measurements!G10&lt;='mean+3Sigma'!G7)</f>
        <v>1</v>
      </c>
      <c r="H10" s="16">
        <f>--AND(Measurements!H10&gt;='mean-3Sigma'!H7, Measurements!H10&lt;='mean+3Sigma'!H7)</f>
        <v>1</v>
      </c>
      <c r="I10" s="16">
        <f>--AND(Measurements!I10&gt;='mean-3Sigma'!I7, Measurements!I10&lt;='mean+3Sigma'!I7)</f>
        <v>1</v>
      </c>
      <c r="J10" s="16">
        <f>--AND(Measurements!J10&gt;='mean-3Sigma'!J7, Measurements!J10&lt;='mean+3Sigma'!J7)</f>
        <v>1</v>
      </c>
      <c r="K10" s="16">
        <f>--AND(Measurements!K10&gt;='mean-3Sigma'!K7, Measurements!K10&lt;='mean+3Sigma'!K7)</f>
        <v>1</v>
      </c>
      <c r="L10" s="16">
        <f>--AND(Measurements!L10&gt;='mean-3Sigma'!L7, Measurements!L10&lt;='mean+3Sigma'!L7)</f>
        <v>1</v>
      </c>
      <c r="M10" s="16">
        <f>--AND(Measurements!M10&gt;='mean-3Sigma'!M7, Measurements!M10&lt;='mean+3Sigma'!M7)</f>
        <v>1</v>
      </c>
      <c r="N10" s="16">
        <f>--AND(Measurements!N10&gt;='mean-3Sigma'!N7, Measurements!N10&lt;='mean+3Sigma'!N7)</f>
        <v>1</v>
      </c>
      <c r="O10" s="16">
        <f>--AND(Measurements!O10&gt;='mean-3Sigma'!O7, Measurements!O10&lt;='mean+3Sigma'!O7)</f>
        <v>1</v>
      </c>
      <c r="P10" s="16">
        <f>--AND(Measurements!P10&gt;='mean-3Sigma'!P7, Measurements!P10&lt;='mean+3Sigma'!P7)</f>
        <v>1</v>
      </c>
      <c r="Q10" s="16">
        <f>--AND(Measurements!Q10&gt;='mean-3Sigma'!Q7, Measurements!Q10&lt;='mean+3Sigma'!Q7)</f>
        <v>1</v>
      </c>
      <c r="R10" s="16">
        <f>--AND(Measurements!R10&gt;='mean-3Sigma'!R7, Measurements!R10&lt;='mean+3Sigma'!R7)</f>
        <v>1</v>
      </c>
      <c r="S10" s="16">
        <f>--AND(Measurements!S10&gt;='mean-3Sigma'!S7, Measurements!S10&lt;='mean+3Sigma'!S7)</f>
        <v>1</v>
      </c>
      <c r="T10" s="16">
        <f>--AND(Measurements!T10&gt;='mean-3Sigma'!T7, Measurements!T10&lt;='mean+3Sigma'!T7)</f>
        <v>1</v>
      </c>
      <c r="U10" s="16">
        <f>--AND(Measurements!U10&gt;='mean-3Sigma'!U7, Measurements!U10&lt;='mean+3Sigma'!U7)</f>
        <v>1</v>
      </c>
      <c r="V10" s="16">
        <f>--AND(Measurements!V10&gt;='mean-3Sigma'!V7, Measurements!V10&lt;='mean+3Sigma'!V7)</f>
        <v>1</v>
      </c>
      <c r="W10" s="16">
        <f>--AND(Measurements!W10&gt;='mean-3Sigma'!W7, Measurements!W10&lt;='mean+3Sigma'!W7)</f>
        <v>1</v>
      </c>
      <c r="X10" s="16">
        <f>--AND(Measurements!X10&gt;='mean-3Sigma'!X7, Measurements!X10&lt;='mean+3Sigma'!X7)</f>
        <v>1</v>
      </c>
      <c r="Y10" s="16">
        <f>--AND(Measurements!Y10&gt;='mean-3Sigma'!Y7, Measurements!Y10&lt;='mean+3Sigma'!Y7)</f>
        <v>1</v>
      </c>
      <c r="Z10" s="16">
        <f>--AND(Measurements!Z10&gt;='mean-3Sigma'!Z7, Measurements!Z10&lt;='mean+3Sigma'!Z7)</f>
        <v>1</v>
      </c>
      <c r="AA10" s="16">
        <f>--AND(Measurements!AA10&gt;='mean-3Sigma'!AA7, Measurements!AA10&lt;='mean+3Sigma'!AA7)</f>
        <v>1</v>
      </c>
      <c r="AB10" s="16">
        <f>--AND(Measurements!AB10&gt;='mean-3Sigma'!AB7, Measurements!AB10&lt;='mean+3Sigma'!AB7)</f>
        <v>1</v>
      </c>
      <c r="AC10" s="16">
        <f>--AND(Measurements!AC10&gt;='mean-3Sigma'!AC7, Measurements!AC10&lt;='mean+3Sigma'!AC7)</f>
        <v>1</v>
      </c>
      <c r="AD10" s="16">
        <f>--AND(Measurements!AD10&gt;='mean-3Sigma'!AD7, Measurements!AD10&lt;='mean+3Sigma'!AD7)</f>
        <v>1</v>
      </c>
      <c r="AE10" s="16">
        <f>--AND(Measurements!AE10&gt;='mean-3Sigma'!AE7, Measurements!AE10&lt;='mean+3Sigma'!AE7)</f>
        <v>1</v>
      </c>
      <c r="AF10" s="16">
        <f>--AND(Measurements!AF10&gt;='mean-3Sigma'!AF7, Measurements!AF10&lt;='mean+3Sigma'!AF7)</f>
        <v>1</v>
      </c>
      <c r="AG10" s="16">
        <f>--AND(Measurements!AG10&gt;='mean-3Sigma'!AG7, Measurements!AG10&lt;='mean+3Sigma'!AG7)</f>
        <v>1</v>
      </c>
      <c r="AH10" s="16">
        <f>--AND(Measurements!AH10&gt;='mean-3Sigma'!AH7, Measurements!AH10&lt;='mean+3Sigma'!AH7)</f>
        <v>1</v>
      </c>
      <c r="AI10" s="16">
        <f>--AND(Measurements!AI10&gt;='mean-3Sigma'!AI7, Measurements!AI10&lt;='mean+3Sigma'!AI7)</f>
        <v>1</v>
      </c>
      <c r="AJ10" s="16">
        <f>--AND(Measurements!AJ10&gt;='mean-3Sigma'!AJ7, Measurements!AJ10&lt;='mean+3Sigma'!AJ7)</f>
        <v>1</v>
      </c>
      <c r="AK10" s="16">
        <f>--AND(Measurements!AK10&gt;='mean-3Sigma'!AK7, Measurements!AK10&lt;='mean+3Sigma'!AK7)</f>
        <v>0</v>
      </c>
      <c r="AL10" s="16">
        <f>--AND(Measurements!AL10&gt;='mean-3Sigma'!AL7, Measurements!AL10&lt;='mean+3Sigma'!AL7)</f>
        <v>0</v>
      </c>
      <c r="AM10" s="16">
        <f>--AND(Measurements!AM10&gt;='mean-3Sigma'!AM7, Measurements!AM10&lt;='mean+3Sigma'!AM7)</f>
        <v>1</v>
      </c>
      <c r="AN10" s="16">
        <f>--AND(Measurements!AN10&gt;='mean-3Sigma'!AN7, Measurements!AN10&lt;='mean+3Sigma'!AN7)</f>
        <v>1</v>
      </c>
      <c r="AO10" s="16">
        <f>--AND(Measurements!AO10&gt;='mean-3Sigma'!AO7, Measurements!AO10&lt;='mean+3Sigma'!AO7)</f>
        <v>1</v>
      </c>
      <c r="AP10" s="16">
        <f>--AND(Measurements!AP10&gt;='mean-3Sigma'!AP7, Measurements!AP10&lt;='mean+3Sigma'!AP7)</f>
        <v>1</v>
      </c>
      <c r="AQ10" s="16">
        <f>--AND(Measurements!AQ10&gt;='mean-3Sigma'!AQ7, Measurements!AQ10&lt;='mean+3Sigma'!AQ7)</f>
        <v>1</v>
      </c>
      <c r="AR10" s="16">
        <f>--AND(Measurements!AR10&gt;='mean-3Sigma'!AR7, Measurements!AR10&lt;='mean+3Sigma'!AR7)</f>
        <v>1</v>
      </c>
      <c r="AS10" s="16">
        <f>--AND(Measurements!AS10&gt;='mean-3Sigma'!AS7, Measurements!AS10&lt;='mean+3Sigma'!AS7)</f>
        <v>0</v>
      </c>
      <c r="AT10" s="16">
        <f>--AND(Measurements!AT10&gt;='mean-3Sigma'!AT7, Measurements!AT10&lt;='mean+3Sigma'!AT7)</f>
        <v>1</v>
      </c>
      <c r="AU10" s="16">
        <f>--AND(Measurements!AU10&gt;='mean-3Sigma'!AU7, Measurements!AU10&lt;='mean+3Sigma'!AU7)</f>
        <v>0</v>
      </c>
      <c r="AV10" s="16">
        <f>--AND(Measurements!AV10&gt;='mean-3Sigma'!AV7, Measurements!AV10&lt;='mean+3Sigma'!AV7)</f>
        <v>1</v>
      </c>
      <c r="AW10" s="16">
        <f>--AND(Measurements!AW10&gt;='mean-3Sigma'!AW7, Measurements!AW10&lt;='mean+3Sigma'!AW7)</f>
        <v>1</v>
      </c>
      <c r="AX10" s="16">
        <f>--AND(Measurements!AX10&gt;='mean-3Sigma'!AX7, Measurements!AX10&lt;='mean+3Sigma'!AX7)</f>
        <v>1</v>
      </c>
    </row>
    <row r="11" spans="1:50">
      <c r="A11">
        <v>135</v>
      </c>
      <c r="B11" s="16">
        <f>--AND(Measurements!B11&gt;='mean-3Sigma'!B8, Measurements!B11&lt;='mean+3Sigma'!B8)</f>
        <v>1</v>
      </c>
      <c r="C11" s="16">
        <f>--AND(Measurements!C11&gt;='mean-3Sigma'!C8, Measurements!C11&lt;='mean+3Sigma'!C8)</f>
        <v>1</v>
      </c>
      <c r="D11" s="16">
        <f>--AND(Measurements!D11&gt;='mean-3Sigma'!D8, Measurements!D11&lt;='mean+3Sigma'!D8)</f>
        <v>1</v>
      </c>
      <c r="E11" s="16">
        <f>--AND(Measurements!E11&gt;='mean-3Sigma'!E8, Measurements!E11&lt;='mean+3Sigma'!E8)</f>
        <v>1</v>
      </c>
      <c r="F11" s="16">
        <f>--AND(Measurements!F11&gt;='mean-3Sigma'!F8, Measurements!F11&lt;='mean+3Sigma'!F8)</f>
        <v>1</v>
      </c>
      <c r="G11" s="16">
        <f>--AND(Measurements!G11&gt;='mean-3Sigma'!G8, Measurements!G11&lt;='mean+3Sigma'!G8)</f>
        <v>1</v>
      </c>
      <c r="H11" s="16">
        <f>--AND(Measurements!H11&gt;='mean-3Sigma'!H8, Measurements!H11&lt;='mean+3Sigma'!H8)</f>
        <v>1</v>
      </c>
      <c r="I11" s="16">
        <f>--AND(Measurements!I11&gt;='mean-3Sigma'!I8, Measurements!I11&lt;='mean+3Sigma'!I8)</f>
        <v>1</v>
      </c>
      <c r="J11" s="16">
        <f>--AND(Measurements!J11&gt;='mean-3Sigma'!J8, Measurements!J11&lt;='mean+3Sigma'!J8)</f>
        <v>1</v>
      </c>
      <c r="K11" s="16">
        <f>--AND(Measurements!K11&gt;='mean-3Sigma'!K8, Measurements!K11&lt;='mean+3Sigma'!K8)</f>
        <v>1</v>
      </c>
      <c r="L11" s="16">
        <f>--AND(Measurements!L11&gt;='mean-3Sigma'!L8, Measurements!L11&lt;='mean+3Sigma'!L8)</f>
        <v>1</v>
      </c>
      <c r="M11" s="16">
        <f>--AND(Measurements!M11&gt;='mean-3Sigma'!M8, Measurements!M11&lt;='mean+3Sigma'!M8)</f>
        <v>1</v>
      </c>
      <c r="N11" s="16">
        <f>--AND(Measurements!N11&gt;='mean-3Sigma'!N8, Measurements!N11&lt;='mean+3Sigma'!N8)</f>
        <v>1</v>
      </c>
      <c r="O11" s="16">
        <f>--AND(Measurements!O11&gt;='mean-3Sigma'!O8, Measurements!O11&lt;='mean+3Sigma'!O8)</f>
        <v>1</v>
      </c>
      <c r="P11" s="16">
        <f>--AND(Measurements!P11&gt;='mean-3Sigma'!P8, Measurements!P11&lt;='mean+3Sigma'!P8)</f>
        <v>1</v>
      </c>
      <c r="Q11" s="16">
        <f>--AND(Measurements!Q11&gt;='mean-3Sigma'!Q8, Measurements!Q11&lt;='mean+3Sigma'!Q8)</f>
        <v>1</v>
      </c>
      <c r="R11" s="16">
        <f>--AND(Measurements!R11&gt;='mean-3Sigma'!R8, Measurements!R11&lt;='mean+3Sigma'!R8)</f>
        <v>1</v>
      </c>
      <c r="S11" s="16">
        <f>--AND(Measurements!S11&gt;='mean-3Sigma'!S8, Measurements!S11&lt;='mean+3Sigma'!S8)</f>
        <v>1</v>
      </c>
      <c r="T11" s="16">
        <f>--AND(Measurements!T11&gt;='mean-3Sigma'!T8, Measurements!T11&lt;='mean+3Sigma'!T8)</f>
        <v>1</v>
      </c>
      <c r="U11" s="16">
        <f>--AND(Measurements!U11&gt;='mean-3Sigma'!U8, Measurements!U11&lt;='mean+3Sigma'!U8)</f>
        <v>1</v>
      </c>
      <c r="V11" s="16">
        <f>--AND(Measurements!V11&gt;='mean-3Sigma'!V8, Measurements!V11&lt;='mean+3Sigma'!V8)</f>
        <v>1</v>
      </c>
      <c r="W11" s="16">
        <f>--AND(Measurements!W11&gt;='mean-3Sigma'!W8, Measurements!W11&lt;='mean+3Sigma'!W8)</f>
        <v>1</v>
      </c>
      <c r="X11" s="16">
        <f>--AND(Measurements!X11&gt;='mean-3Sigma'!X8, Measurements!X11&lt;='mean+3Sigma'!X8)</f>
        <v>1</v>
      </c>
      <c r="Y11" s="16">
        <f>--AND(Measurements!Y11&gt;='mean-3Sigma'!Y8, Measurements!Y11&lt;='mean+3Sigma'!Y8)</f>
        <v>1</v>
      </c>
      <c r="Z11" s="16">
        <f>--AND(Measurements!Z11&gt;='mean-3Sigma'!Z8, Measurements!Z11&lt;='mean+3Sigma'!Z8)</f>
        <v>1</v>
      </c>
      <c r="AA11" s="16">
        <f>--AND(Measurements!AA11&gt;='mean-3Sigma'!AA8, Measurements!AA11&lt;='mean+3Sigma'!AA8)</f>
        <v>1</v>
      </c>
      <c r="AB11" s="16">
        <f>--AND(Measurements!AB11&gt;='mean-3Sigma'!AB8, Measurements!AB11&lt;='mean+3Sigma'!AB8)</f>
        <v>1</v>
      </c>
      <c r="AC11" s="16">
        <f>--AND(Measurements!AC11&gt;='mean-3Sigma'!AC8, Measurements!AC11&lt;='mean+3Sigma'!AC8)</f>
        <v>1</v>
      </c>
      <c r="AD11" s="16">
        <f>--AND(Measurements!AD11&gt;='mean-3Sigma'!AD8, Measurements!AD11&lt;='mean+3Sigma'!AD8)</f>
        <v>1</v>
      </c>
      <c r="AE11" s="16">
        <f>--AND(Measurements!AE11&gt;='mean-3Sigma'!AE8, Measurements!AE11&lt;='mean+3Sigma'!AE8)</f>
        <v>1</v>
      </c>
      <c r="AF11" s="16">
        <f>--AND(Measurements!AF11&gt;='mean-3Sigma'!AF8, Measurements!AF11&lt;='mean+3Sigma'!AF8)</f>
        <v>1</v>
      </c>
      <c r="AG11" s="16">
        <f>--AND(Measurements!AG11&gt;='mean-3Sigma'!AG8, Measurements!AG11&lt;='mean+3Sigma'!AG8)</f>
        <v>1</v>
      </c>
      <c r="AH11" s="16">
        <f>--AND(Measurements!AH11&gt;='mean-3Sigma'!AH8, Measurements!AH11&lt;='mean+3Sigma'!AH8)</f>
        <v>1</v>
      </c>
      <c r="AI11" s="16">
        <f>--AND(Measurements!AI11&gt;='mean-3Sigma'!AI8, Measurements!AI11&lt;='mean+3Sigma'!AI8)</f>
        <v>1</v>
      </c>
      <c r="AJ11" s="16">
        <f>--AND(Measurements!AJ11&gt;='mean-3Sigma'!AJ8, Measurements!AJ11&lt;='mean+3Sigma'!AJ8)</f>
        <v>1</v>
      </c>
      <c r="AK11" s="16">
        <f>--AND(Measurements!AK11&gt;='mean-3Sigma'!AK8, Measurements!AK11&lt;='mean+3Sigma'!AK8)</f>
        <v>0</v>
      </c>
      <c r="AL11" s="16">
        <f>--AND(Measurements!AL11&gt;='mean-3Sigma'!AL8, Measurements!AL11&lt;='mean+3Sigma'!AL8)</f>
        <v>0</v>
      </c>
      <c r="AM11" s="16">
        <f>--AND(Measurements!AM11&gt;='mean-3Sigma'!AM8, Measurements!AM11&lt;='mean+3Sigma'!AM8)</f>
        <v>1</v>
      </c>
      <c r="AN11" s="16">
        <f>--AND(Measurements!AN11&gt;='mean-3Sigma'!AN8, Measurements!AN11&lt;='mean+3Sigma'!AN8)</f>
        <v>1</v>
      </c>
      <c r="AO11" s="16">
        <f>--AND(Measurements!AO11&gt;='mean-3Sigma'!AO8, Measurements!AO11&lt;='mean+3Sigma'!AO8)</f>
        <v>1</v>
      </c>
      <c r="AP11" s="16">
        <f>--AND(Measurements!AP11&gt;='mean-3Sigma'!AP8, Measurements!AP11&lt;='mean+3Sigma'!AP8)</f>
        <v>1</v>
      </c>
      <c r="AQ11" s="16">
        <f>--AND(Measurements!AQ11&gt;='mean-3Sigma'!AQ8, Measurements!AQ11&lt;='mean+3Sigma'!AQ8)</f>
        <v>1</v>
      </c>
      <c r="AR11" s="16">
        <f>--AND(Measurements!AR11&gt;='mean-3Sigma'!AR8, Measurements!AR11&lt;='mean+3Sigma'!AR8)</f>
        <v>1</v>
      </c>
      <c r="AS11" s="16">
        <f>--AND(Measurements!AS11&gt;='mean-3Sigma'!AS8, Measurements!AS11&lt;='mean+3Sigma'!AS8)</f>
        <v>0</v>
      </c>
      <c r="AT11" s="16">
        <f>--AND(Measurements!AT11&gt;='mean-3Sigma'!AT8, Measurements!AT11&lt;='mean+3Sigma'!AT8)</f>
        <v>1</v>
      </c>
      <c r="AU11" s="16">
        <f>--AND(Measurements!AU11&gt;='mean-3Sigma'!AU8, Measurements!AU11&lt;='mean+3Sigma'!AU8)</f>
        <v>0</v>
      </c>
      <c r="AV11" s="16">
        <f>--AND(Measurements!AV11&gt;='mean-3Sigma'!AV8, Measurements!AV11&lt;='mean+3Sigma'!AV8)</f>
        <v>1</v>
      </c>
      <c r="AW11" s="16">
        <f>--AND(Measurements!AW11&gt;='mean-3Sigma'!AW8, Measurements!AW11&lt;='mean+3Sigma'!AW8)</f>
        <v>1</v>
      </c>
      <c r="AX11" s="16">
        <f>--AND(Measurements!AX11&gt;='mean-3Sigma'!AX8, Measurements!AX11&lt;='mean+3Sigma'!AX8)</f>
        <v>1</v>
      </c>
    </row>
    <row r="12" spans="1:50">
      <c r="A12">
        <v>195</v>
      </c>
      <c r="B12" s="16">
        <f>--AND(Measurements!B12&gt;='mean-3Sigma'!B9, Measurements!B12&lt;='mean+3Sigma'!B9)</f>
        <v>1</v>
      </c>
      <c r="C12" s="16">
        <f>--AND(Measurements!C12&gt;='mean-3Sigma'!C9, Measurements!C12&lt;='mean+3Sigma'!C9)</f>
        <v>1</v>
      </c>
      <c r="D12" s="16">
        <f>--AND(Measurements!D12&gt;='mean-3Sigma'!D9, Measurements!D12&lt;='mean+3Sigma'!D9)</f>
        <v>1</v>
      </c>
      <c r="E12" s="16">
        <f>--AND(Measurements!E12&gt;='mean-3Sigma'!E9, Measurements!E12&lt;='mean+3Sigma'!E9)</f>
        <v>1</v>
      </c>
      <c r="F12" s="16">
        <f>--AND(Measurements!F12&gt;='mean-3Sigma'!F9, Measurements!F12&lt;='mean+3Sigma'!F9)</f>
        <v>1</v>
      </c>
      <c r="G12" s="16">
        <f>--AND(Measurements!G12&gt;='mean-3Sigma'!G9, Measurements!G12&lt;='mean+3Sigma'!G9)</f>
        <v>1</v>
      </c>
      <c r="H12" s="16">
        <f>--AND(Measurements!H12&gt;='mean-3Sigma'!H9, Measurements!H12&lt;='mean+3Sigma'!H9)</f>
        <v>1</v>
      </c>
      <c r="I12" s="16">
        <f>--AND(Measurements!I12&gt;='mean-3Sigma'!I9, Measurements!I12&lt;='mean+3Sigma'!I9)</f>
        <v>1</v>
      </c>
      <c r="J12" s="16">
        <f>--AND(Measurements!J12&gt;='mean-3Sigma'!J9, Measurements!J12&lt;='mean+3Sigma'!J9)</f>
        <v>1</v>
      </c>
      <c r="K12" s="16">
        <f>--AND(Measurements!K12&gt;='mean-3Sigma'!K9, Measurements!K12&lt;='mean+3Sigma'!K9)</f>
        <v>1</v>
      </c>
      <c r="L12" s="16">
        <f>--AND(Measurements!L12&gt;='mean-3Sigma'!L9, Measurements!L12&lt;='mean+3Sigma'!L9)</f>
        <v>1</v>
      </c>
      <c r="M12" s="16">
        <f>--AND(Measurements!M12&gt;='mean-3Sigma'!M9, Measurements!M12&lt;='mean+3Sigma'!M9)</f>
        <v>1</v>
      </c>
      <c r="N12" s="16">
        <f>--AND(Measurements!N12&gt;='mean-3Sigma'!N9, Measurements!N12&lt;='mean+3Sigma'!N9)</f>
        <v>1</v>
      </c>
      <c r="O12" s="16">
        <f>--AND(Measurements!O12&gt;='mean-3Sigma'!O9, Measurements!O12&lt;='mean+3Sigma'!O9)</f>
        <v>1</v>
      </c>
      <c r="P12" s="16">
        <f>--AND(Measurements!P12&gt;='mean-3Sigma'!P9, Measurements!P12&lt;='mean+3Sigma'!P9)</f>
        <v>1</v>
      </c>
      <c r="Q12" s="16">
        <f>--AND(Measurements!Q12&gt;='mean-3Sigma'!Q9, Measurements!Q12&lt;='mean+3Sigma'!Q9)</f>
        <v>1</v>
      </c>
      <c r="R12" s="16">
        <f>--AND(Measurements!R12&gt;='mean-3Sigma'!R9, Measurements!R12&lt;='mean+3Sigma'!R9)</f>
        <v>1</v>
      </c>
      <c r="S12" s="16">
        <f>--AND(Measurements!S12&gt;='mean-3Sigma'!S9, Measurements!S12&lt;='mean+3Sigma'!S9)</f>
        <v>1</v>
      </c>
      <c r="T12" s="16">
        <f>--AND(Measurements!T12&gt;='mean-3Sigma'!T9, Measurements!T12&lt;='mean+3Sigma'!T9)</f>
        <v>1</v>
      </c>
      <c r="U12" s="16">
        <f>--AND(Measurements!U12&gt;='mean-3Sigma'!U9, Measurements!U12&lt;='mean+3Sigma'!U9)</f>
        <v>1</v>
      </c>
      <c r="V12" s="16">
        <f>--AND(Measurements!V12&gt;='mean-3Sigma'!V9, Measurements!V12&lt;='mean+3Sigma'!V9)</f>
        <v>1</v>
      </c>
      <c r="W12" s="16">
        <f>--AND(Measurements!W12&gt;='mean-3Sigma'!W9, Measurements!W12&lt;='mean+3Sigma'!W9)</f>
        <v>1</v>
      </c>
      <c r="X12" s="16">
        <f>--AND(Measurements!X12&gt;='mean-3Sigma'!X9, Measurements!X12&lt;='mean+3Sigma'!X9)</f>
        <v>1</v>
      </c>
      <c r="Y12" s="16">
        <f>--AND(Measurements!Y12&gt;='mean-3Sigma'!Y9, Measurements!Y12&lt;='mean+3Sigma'!Y9)</f>
        <v>1</v>
      </c>
      <c r="Z12" s="16">
        <f>--AND(Measurements!Z12&gt;='mean-3Sigma'!Z9, Measurements!Z12&lt;='mean+3Sigma'!Z9)</f>
        <v>1</v>
      </c>
      <c r="AA12" s="16">
        <f>--AND(Measurements!AA12&gt;='mean-3Sigma'!AA9, Measurements!AA12&lt;='mean+3Sigma'!AA9)</f>
        <v>1</v>
      </c>
      <c r="AB12" s="16">
        <f>--AND(Measurements!AB12&gt;='mean-3Sigma'!AB9, Measurements!AB12&lt;='mean+3Sigma'!AB9)</f>
        <v>1</v>
      </c>
      <c r="AC12" s="16">
        <f>--AND(Measurements!AC12&gt;='mean-3Sigma'!AC9, Measurements!AC12&lt;='mean+3Sigma'!AC9)</f>
        <v>1</v>
      </c>
      <c r="AD12" s="16">
        <f>--AND(Measurements!AD12&gt;='mean-3Sigma'!AD9, Measurements!AD12&lt;='mean+3Sigma'!AD9)</f>
        <v>1</v>
      </c>
      <c r="AE12" s="16">
        <f>--AND(Measurements!AE12&gt;='mean-3Sigma'!AE9, Measurements!AE12&lt;='mean+3Sigma'!AE9)</f>
        <v>1</v>
      </c>
      <c r="AF12" s="16">
        <f>--AND(Measurements!AF12&gt;='mean-3Sigma'!AF9, Measurements!AF12&lt;='mean+3Sigma'!AF9)</f>
        <v>1</v>
      </c>
      <c r="AG12" s="16">
        <f>--AND(Measurements!AG12&gt;='mean-3Sigma'!AG9, Measurements!AG12&lt;='mean+3Sigma'!AG9)</f>
        <v>1</v>
      </c>
      <c r="AH12" s="16">
        <f>--AND(Measurements!AH12&gt;='mean-3Sigma'!AH9, Measurements!AH12&lt;='mean+3Sigma'!AH9)</f>
        <v>1</v>
      </c>
      <c r="AI12" s="16">
        <f>--AND(Measurements!AI12&gt;='mean-3Sigma'!AI9, Measurements!AI12&lt;='mean+3Sigma'!AI9)</f>
        <v>1</v>
      </c>
      <c r="AJ12" s="16">
        <f>--AND(Measurements!AJ12&gt;='mean-3Sigma'!AJ9, Measurements!AJ12&lt;='mean+3Sigma'!AJ9)</f>
        <v>1</v>
      </c>
      <c r="AK12" s="16">
        <f>--AND(Measurements!AK12&gt;='mean-3Sigma'!AK9, Measurements!AK12&lt;='mean+3Sigma'!AK9)</f>
        <v>1</v>
      </c>
      <c r="AL12" s="16">
        <f>--AND(Measurements!AL12&gt;='mean-3Sigma'!AL9, Measurements!AL12&lt;='mean+3Sigma'!AL9)</f>
        <v>1</v>
      </c>
      <c r="AM12" s="16">
        <f>--AND(Measurements!AM12&gt;='mean-3Sigma'!AM9, Measurements!AM12&lt;='mean+3Sigma'!AM9)</f>
        <v>1</v>
      </c>
      <c r="AN12" s="16">
        <f>--AND(Measurements!AN12&gt;='mean-3Sigma'!AN9, Measurements!AN12&lt;='mean+3Sigma'!AN9)</f>
        <v>1</v>
      </c>
      <c r="AO12" s="16">
        <f>--AND(Measurements!AO12&gt;='mean-3Sigma'!AO9, Measurements!AO12&lt;='mean+3Sigma'!AO9)</f>
        <v>1</v>
      </c>
      <c r="AP12" s="16">
        <f>--AND(Measurements!AP12&gt;='mean-3Sigma'!AP9, Measurements!AP12&lt;='mean+3Sigma'!AP9)</f>
        <v>1</v>
      </c>
      <c r="AQ12" s="16">
        <f>--AND(Measurements!AQ12&gt;='mean-3Sigma'!AQ9, Measurements!AQ12&lt;='mean+3Sigma'!AQ9)</f>
        <v>1</v>
      </c>
      <c r="AR12" s="16">
        <f>--AND(Measurements!AR12&gt;='mean-3Sigma'!AR9, Measurements!AR12&lt;='mean+3Sigma'!AR9)</f>
        <v>1</v>
      </c>
      <c r="AS12" s="16">
        <f>--AND(Measurements!AS12&gt;='mean-3Sigma'!AS9, Measurements!AS12&lt;='mean+3Sigma'!AS9)</f>
        <v>0</v>
      </c>
      <c r="AT12" s="16">
        <f>--AND(Measurements!AT12&gt;='mean-3Sigma'!AT9, Measurements!AT12&lt;='mean+3Sigma'!AT9)</f>
        <v>1</v>
      </c>
      <c r="AU12" s="16">
        <f>--AND(Measurements!AU12&gt;='mean-3Sigma'!AU9, Measurements!AU12&lt;='mean+3Sigma'!AU9)</f>
        <v>0</v>
      </c>
      <c r="AV12" s="16">
        <f>--AND(Measurements!AV12&gt;='mean-3Sigma'!AV9, Measurements!AV12&lt;='mean+3Sigma'!AV9)</f>
        <v>1</v>
      </c>
      <c r="AW12" s="16">
        <f>--AND(Measurements!AW12&gt;='mean-3Sigma'!AW9, Measurements!AW12&lt;='mean+3Sigma'!AW9)</f>
        <v>1</v>
      </c>
      <c r="AX12" s="16">
        <f>--AND(Measurements!AX12&gt;='mean-3Sigma'!AX9, Measurements!AX12&lt;='mean+3Sigma'!AX9)</f>
        <v>1</v>
      </c>
    </row>
    <row r="13" spans="1:50">
      <c r="A13">
        <v>195</v>
      </c>
      <c r="B13" s="16">
        <f>--AND(Measurements!B13&gt;='mean-3Sigma'!B10, Measurements!B13&lt;='mean+3Sigma'!B10)</f>
        <v>1</v>
      </c>
      <c r="C13" s="16">
        <f>--AND(Measurements!C13&gt;='mean-3Sigma'!C10, Measurements!C13&lt;='mean+3Sigma'!C10)</f>
        <v>1</v>
      </c>
      <c r="D13" s="16">
        <f>--AND(Measurements!D13&gt;='mean-3Sigma'!D10, Measurements!D13&lt;='mean+3Sigma'!D10)</f>
        <v>1</v>
      </c>
      <c r="E13" s="16">
        <f>--AND(Measurements!E13&gt;='mean-3Sigma'!E10, Measurements!E13&lt;='mean+3Sigma'!E10)</f>
        <v>1</v>
      </c>
      <c r="F13" s="16">
        <f>--AND(Measurements!F13&gt;='mean-3Sigma'!F10, Measurements!F13&lt;='mean+3Sigma'!F10)</f>
        <v>1</v>
      </c>
      <c r="G13" s="16">
        <f>--AND(Measurements!G13&gt;='mean-3Sigma'!G10, Measurements!G13&lt;='mean+3Sigma'!G10)</f>
        <v>1</v>
      </c>
      <c r="H13" s="16">
        <f>--AND(Measurements!H13&gt;='mean-3Sigma'!H10, Measurements!H13&lt;='mean+3Sigma'!H10)</f>
        <v>1</v>
      </c>
      <c r="I13" s="16">
        <f>--AND(Measurements!I13&gt;='mean-3Sigma'!I10, Measurements!I13&lt;='mean+3Sigma'!I10)</f>
        <v>1</v>
      </c>
      <c r="J13" s="16">
        <f>--AND(Measurements!J13&gt;='mean-3Sigma'!J10, Measurements!J13&lt;='mean+3Sigma'!J10)</f>
        <v>1</v>
      </c>
      <c r="K13" s="16">
        <f>--AND(Measurements!K13&gt;='mean-3Sigma'!K10, Measurements!K13&lt;='mean+3Sigma'!K10)</f>
        <v>1</v>
      </c>
      <c r="L13" s="16">
        <f>--AND(Measurements!L13&gt;='mean-3Sigma'!L10, Measurements!L13&lt;='mean+3Sigma'!L10)</f>
        <v>1</v>
      </c>
      <c r="M13" s="16">
        <f>--AND(Measurements!M13&gt;='mean-3Sigma'!M10, Measurements!M13&lt;='mean+3Sigma'!M10)</f>
        <v>1</v>
      </c>
      <c r="N13" s="16">
        <f>--AND(Measurements!N13&gt;='mean-3Sigma'!N10, Measurements!N13&lt;='mean+3Sigma'!N10)</f>
        <v>1</v>
      </c>
      <c r="O13" s="16">
        <f>--AND(Measurements!O13&gt;='mean-3Sigma'!O10, Measurements!O13&lt;='mean+3Sigma'!O10)</f>
        <v>1</v>
      </c>
      <c r="P13" s="16">
        <f>--AND(Measurements!P13&gt;='mean-3Sigma'!P10, Measurements!P13&lt;='mean+3Sigma'!P10)</f>
        <v>1</v>
      </c>
      <c r="Q13" s="16">
        <f>--AND(Measurements!Q13&gt;='mean-3Sigma'!Q10, Measurements!Q13&lt;='mean+3Sigma'!Q10)</f>
        <v>1</v>
      </c>
      <c r="R13" s="16">
        <f>--AND(Measurements!R13&gt;='mean-3Sigma'!R10, Measurements!R13&lt;='mean+3Sigma'!R10)</f>
        <v>1</v>
      </c>
      <c r="S13" s="16">
        <f>--AND(Measurements!S13&gt;='mean-3Sigma'!S10, Measurements!S13&lt;='mean+3Sigma'!S10)</f>
        <v>1</v>
      </c>
      <c r="T13" s="16">
        <f>--AND(Measurements!T13&gt;='mean-3Sigma'!T10, Measurements!T13&lt;='mean+3Sigma'!T10)</f>
        <v>1</v>
      </c>
      <c r="U13" s="16">
        <f>--AND(Measurements!U13&gt;='mean-3Sigma'!U10, Measurements!U13&lt;='mean+3Sigma'!U10)</f>
        <v>1</v>
      </c>
      <c r="V13" s="16">
        <f>--AND(Measurements!V13&gt;='mean-3Sigma'!V10, Measurements!V13&lt;='mean+3Sigma'!V10)</f>
        <v>1</v>
      </c>
      <c r="W13" s="16">
        <f>--AND(Measurements!W13&gt;='mean-3Sigma'!W10, Measurements!W13&lt;='mean+3Sigma'!W10)</f>
        <v>1</v>
      </c>
      <c r="X13" s="16">
        <f>--AND(Measurements!X13&gt;='mean-3Sigma'!X10, Measurements!X13&lt;='mean+3Sigma'!X10)</f>
        <v>1</v>
      </c>
      <c r="Y13" s="16">
        <f>--AND(Measurements!Y13&gt;='mean-3Sigma'!Y10, Measurements!Y13&lt;='mean+3Sigma'!Y10)</f>
        <v>1</v>
      </c>
      <c r="Z13" s="16">
        <f>--AND(Measurements!Z13&gt;='mean-3Sigma'!Z10, Measurements!Z13&lt;='mean+3Sigma'!Z10)</f>
        <v>1</v>
      </c>
      <c r="AA13" s="16">
        <f>--AND(Measurements!AA13&gt;='mean-3Sigma'!AA10, Measurements!AA13&lt;='mean+3Sigma'!AA10)</f>
        <v>1</v>
      </c>
      <c r="AB13" s="16">
        <f>--AND(Measurements!AB13&gt;='mean-3Sigma'!AB10, Measurements!AB13&lt;='mean+3Sigma'!AB10)</f>
        <v>1</v>
      </c>
      <c r="AC13" s="16">
        <f>--AND(Measurements!AC13&gt;='mean-3Sigma'!AC10, Measurements!AC13&lt;='mean+3Sigma'!AC10)</f>
        <v>1</v>
      </c>
      <c r="AD13" s="16">
        <f>--AND(Measurements!AD13&gt;='mean-3Sigma'!AD10, Measurements!AD13&lt;='mean+3Sigma'!AD10)</f>
        <v>1</v>
      </c>
      <c r="AE13" s="16">
        <f>--AND(Measurements!AE13&gt;='mean-3Sigma'!AE10, Measurements!AE13&lt;='mean+3Sigma'!AE10)</f>
        <v>1</v>
      </c>
      <c r="AF13" s="16">
        <f>--AND(Measurements!AF13&gt;='mean-3Sigma'!AF10, Measurements!AF13&lt;='mean+3Sigma'!AF10)</f>
        <v>1</v>
      </c>
      <c r="AG13" s="16">
        <f>--AND(Measurements!AG13&gt;='mean-3Sigma'!AG10, Measurements!AG13&lt;='mean+3Sigma'!AG10)</f>
        <v>1</v>
      </c>
      <c r="AH13" s="16">
        <f>--AND(Measurements!AH13&gt;='mean-3Sigma'!AH10, Measurements!AH13&lt;='mean+3Sigma'!AH10)</f>
        <v>1</v>
      </c>
      <c r="AI13" s="16">
        <f>--AND(Measurements!AI13&gt;='mean-3Sigma'!AI10, Measurements!AI13&lt;='mean+3Sigma'!AI10)</f>
        <v>1</v>
      </c>
      <c r="AJ13" s="16">
        <f>--AND(Measurements!AJ13&gt;='mean-3Sigma'!AJ10, Measurements!AJ13&lt;='mean+3Sigma'!AJ10)</f>
        <v>1</v>
      </c>
      <c r="AK13" s="16">
        <f>--AND(Measurements!AK13&gt;='mean-3Sigma'!AK10, Measurements!AK13&lt;='mean+3Sigma'!AK10)</f>
        <v>1</v>
      </c>
      <c r="AL13" s="16">
        <f>--AND(Measurements!AL13&gt;='mean-3Sigma'!AL10, Measurements!AL13&lt;='mean+3Sigma'!AL10)</f>
        <v>1</v>
      </c>
      <c r="AM13" s="16">
        <f>--AND(Measurements!AM13&gt;='mean-3Sigma'!AM10, Measurements!AM13&lt;='mean+3Sigma'!AM10)</f>
        <v>1</v>
      </c>
      <c r="AN13" s="16">
        <f>--AND(Measurements!AN13&gt;='mean-3Sigma'!AN10, Measurements!AN13&lt;='mean+3Sigma'!AN10)</f>
        <v>1</v>
      </c>
      <c r="AO13" s="16">
        <f>--AND(Measurements!AO13&gt;='mean-3Sigma'!AO10, Measurements!AO13&lt;='mean+3Sigma'!AO10)</f>
        <v>1</v>
      </c>
      <c r="AP13" s="16">
        <f>--AND(Measurements!AP13&gt;='mean-3Sigma'!AP10, Measurements!AP13&lt;='mean+3Sigma'!AP10)</f>
        <v>1</v>
      </c>
      <c r="AQ13" s="16">
        <f>--AND(Measurements!AQ13&gt;='mean-3Sigma'!AQ10, Measurements!AQ13&lt;='mean+3Sigma'!AQ10)</f>
        <v>1</v>
      </c>
      <c r="AR13" s="16">
        <f>--AND(Measurements!AR13&gt;='mean-3Sigma'!AR10, Measurements!AR13&lt;='mean+3Sigma'!AR10)</f>
        <v>1</v>
      </c>
      <c r="AS13" s="16">
        <f>--AND(Measurements!AS13&gt;='mean-3Sigma'!AS10, Measurements!AS13&lt;='mean+3Sigma'!AS10)</f>
        <v>0</v>
      </c>
      <c r="AT13" s="16">
        <f>--AND(Measurements!AT13&gt;='mean-3Sigma'!AT10, Measurements!AT13&lt;='mean+3Sigma'!AT10)</f>
        <v>1</v>
      </c>
      <c r="AU13" s="16">
        <f>--AND(Measurements!AU13&gt;='mean-3Sigma'!AU10, Measurements!AU13&lt;='mean+3Sigma'!AU10)</f>
        <v>0</v>
      </c>
      <c r="AV13" s="16">
        <f>--AND(Measurements!AV13&gt;='mean-3Sigma'!AV10, Measurements!AV13&lt;='mean+3Sigma'!AV10)</f>
        <v>1</v>
      </c>
      <c r="AW13" s="16">
        <f>--AND(Measurements!AW13&gt;='mean-3Sigma'!AW10, Measurements!AW13&lt;='mean+3Sigma'!AW10)</f>
        <v>1</v>
      </c>
      <c r="AX13" s="16">
        <f>--AND(Measurements!AX13&gt;='mean-3Sigma'!AX10, Measurements!AX13&lt;='mean+3Sigma'!AX10)</f>
        <v>1</v>
      </c>
    </row>
    <row r="14" spans="1:50">
      <c r="A14">
        <v>195</v>
      </c>
      <c r="B14" s="16">
        <f>--AND(Measurements!B14&gt;='mean-3Sigma'!B11, Measurements!B14&lt;='mean+3Sigma'!B11)</f>
        <v>1</v>
      </c>
      <c r="C14" s="16">
        <f>--AND(Measurements!C14&gt;='mean-3Sigma'!C11, Measurements!C14&lt;='mean+3Sigma'!C11)</f>
        <v>1</v>
      </c>
      <c r="D14" s="16">
        <f>--AND(Measurements!D14&gt;='mean-3Sigma'!D11, Measurements!D14&lt;='mean+3Sigma'!D11)</f>
        <v>1</v>
      </c>
      <c r="E14" s="16">
        <f>--AND(Measurements!E14&gt;='mean-3Sigma'!E11, Measurements!E14&lt;='mean+3Sigma'!E11)</f>
        <v>1</v>
      </c>
      <c r="F14" s="16">
        <f>--AND(Measurements!F14&gt;='mean-3Sigma'!F11, Measurements!F14&lt;='mean+3Sigma'!F11)</f>
        <v>1</v>
      </c>
      <c r="G14" s="16">
        <f>--AND(Measurements!G14&gt;='mean-3Sigma'!G11, Measurements!G14&lt;='mean+3Sigma'!G11)</f>
        <v>1</v>
      </c>
      <c r="H14" s="16">
        <f>--AND(Measurements!H14&gt;='mean-3Sigma'!H11, Measurements!H14&lt;='mean+3Sigma'!H11)</f>
        <v>1</v>
      </c>
      <c r="I14" s="16">
        <f>--AND(Measurements!I14&gt;='mean-3Sigma'!I11, Measurements!I14&lt;='mean+3Sigma'!I11)</f>
        <v>1</v>
      </c>
      <c r="J14" s="16">
        <f>--AND(Measurements!J14&gt;='mean-3Sigma'!J11, Measurements!J14&lt;='mean+3Sigma'!J11)</f>
        <v>1</v>
      </c>
      <c r="K14" s="16">
        <f>--AND(Measurements!K14&gt;='mean-3Sigma'!K11, Measurements!K14&lt;='mean+3Sigma'!K11)</f>
        <v>1</v>
      </c>
      <c r="L14" s="16">
        <f>--AND(Measurements!L14&gt;='mean-3Sigma'!L11, Measurements!L14&lt;='mean+3Sigma'!L11)</f>
        <v>1</v>
      </c>
      <c r="M14" s="16">
        <f>--AND(Measurements!M14&gt;='mean-3Sigma'!M11, Measurements!M14&lt;='mean+3Sigma'!M11)</f>
        <v>1</v>
      </c>
      <c r="N14" s="16">
        <f>--AND(Measurements!N14&gt;='mean-3Sigma'!N11, Measurements!N14&lt;='mean+3Sigma'!N11)</f>
        <v>1</v>
      </c>
      <c r="O14" s="16">
        <f>--AND(Measurements!O14&gt;='mean-3Sigma'!O11, Measurements!O14&lt;='mean+3Sigma'!O11)</f>
        <v>1</v>
      </c>
      <c r="P14" s="16">
        <f>--AND(Measurements!P14&gt;='mean-3Sigma'!P11, Measurements!P14&lt;='mean+3Sigma'!P11)</f>
        <v>1</v>
      </c>
      <c r="Q14" s="16">
        <f>--AND(Measurements!Q14&gt;='mean-3Sigma'!Q11, Measurements!Q14&lt;='mean+3Sigma'!Q11)</f>
        <v>1</v>
      </c>
      <c r="R14" s="16">
        <f>--AND(Measurements!R14&gt;='mean-3Sigma'!R11, Measurements!R14&lt;='mean+3Sigma'!R11)</f>
        <v>1</v>
      </c>
      <c r="S14" s="16">
        <f>--AND(Measurements!S14&gt;='mean-3Sigma'!S11, Measurements!S14&lt;='mean+3Sigma'!S11)</f>
        <v>1</v>
      </c>
      <c r="T14" s="16">
        <f>--AND(Measurements!T14&gt;='mean-3Sigma'!T11, Measurements!T14&lt;='mean+3Sigma'!T11)</f>
        <v>1</v>
      </c>
      <c r="U14" s="16">
        <f>--AND(Measurements!U14&gt;='mean-3Sigma'!U11, Measurements!U14&lt;='mean+3Sigma'!U11)</f>
        <v>1</v>
      </c>
      <c r="V14" s="16">
        <f>--AND(Measurements!V14&gt;='mean-3Sigma'!V11, Measurements!V14&lt;='mean+3Sigma'!V11)</f>
        <v>1</v>
      </c>
      <c r="W14" s="16">
        <f>--AND(Measurements!W14&gt;='mean-3Sigma'!W11, Measurements!W14&lt;='mean+3Sigma'!W11)</f>
        <v>1</v>
      </c>
      <c r="X14" s="16">
        <f>--AND(Measurements!X14&gt;='mean-3Sigma'!X11, Measurements!X14&lt;='mean+3Sigma'!X11)</f>
        <v>1</v>
      </c>
      <c r="Y14" s="16">
        <f>--AND(Measurements!Y14&gt;='mean-3Sigma'!Y11, Measurements!Y14&lt;='mean+3Sigma'!Y11)</f>
        <v>1</v>
      </c>
      <c r="Z14" s="16">
        <f>--AND(Measurements!Z14&gt;='mean-3Sigma'!Z11, Measurements!Z14&lt;='mean+3Sigma'!Z11)</f>
        <v>1</v>
      </c>
      <c r="AA14" s="16">
        <f>--AND(Measurements!AA14&gt;='mean-3Sigma'!AA11, Measurements!AA14&lt;='mean+3Sigma'!AA11)</f>
        <v>1</v>
      </c>
      <c r="AB14" s="16">
        <f>--AND(Measurements!AB14&gt;='mean-3Sigma'!AB11, Measurements!AB14&lt;='mean+3Sigma'!AB11)</f>
        <v>1</v>
      </c>
      <c r="AC14" s="16">
        <f>--AND(Measurements!AC14&gt;='mean-3Sigma'!AC11, Measurements!AC14&lt;='mean+3Sigma'!AC11)</f>
        <v>1</v>
      </c>
      <c r="AD14" s="16">
        <f>--AND(Measurements!AD14&gt;='mean-3Sigma'!AD11, Measurements!AD14&lt;='mean+3Sigma'!AD11)</f>
        <v>1</v>
      </c>
      <c r="AE14" s="16">
        <f>--AND(Measurements!AE14&gt;='mean-3Sigma'!AE11, Measurements!AE14&lt;='mean+3Sigma'!AE11)</f>
        <v>1</v>
      </c>
      <c r="AF14" s="16">
        <f>--AND(Measurements!AF14&gt;='mean-3Sigma'!AF11, Measurements!AF14&lt;='mean+3Sigma'!AF11)</f>
        <v>1</v>
      </c>
      <c r="AG14" s="16">
        <f>--AND(Measurements!AG14&gt;='mean-3Sigma'!AG11, Measurements!AG14&lt;='mean+3Sigma'!AG11)</f>
        <v>1</v>
      </c>
      <c r="AH14" s="16">
        <f>--AND(Measurements!AH14&gt;='mean-3Sigma'!AH11, Measurements!AH14&lt;='mean+3Sigma'!AH11)</f>
        <v>1</v>
      </c>
      <c r="AI14" s="16">
        <f>--AND(Measurements!AI14&gt;='mean-3Sigma'!AI11, Measurements!AI14&lt;='mean+3Sigma'!AI11)</f>
        <v>1</v>
      </c>
      <c r="AJ14" s="16">
        <f>--AND(Measurements!AJ14&gt;='mean-3Sigma'!AJ11, Measurements!AJ14&lt;='mean+3Sigma'!AJ11)</f>
        <v>1</v>
      </c>
      <c r="AK14" s="16">
        <f>--AND(Measurements!AK14&gt;='mean-3Sigma'!AK11, Measurements!AK14&lt;='mean+3Sigma'!AK11)</f>
        <v>1</v>
      </c>
      <c r="AL14" s="16">
        <f>--AND(Measurements!AL14&gt;='mean-3Sigma'!AL11, Measurements!AL14&lt;='mean+3Sigma'!AL11)</f>
        <v>1</v>
      </c>
      <c r="AM14" s="16">
        <f>--AND(Measurements!AM14&gt;='mean-3Sigma'!AM11, Measurements!AM14&lt;='mean+3Sigma'!AM11)</f>
        <v>1</v>
      </c>
      <c r="AN14" s="16">
        <f>--AND(Measurements!AN14&gt;='mean-3Sigma'!AN11, Measurements!AN14&lt;='mean+3Sigma'!AN11)</f>
        <v>1</v>
      </c>
      <c r="AO14" s="16">
        <f>--AND(Measurements!AO14&gt;='mean-3Sigma'!AO11, Measurements!AO14&lt;='mean+3Sigma'!AO11)</f>
        <v>1</v>
      </c>
      <c r="AP14" s="16">
        <f>--AND(Measurements!AP14&gt;='mean-3Sigma'!AP11, Measurements!AP14&lt;='mean+3Sigma'!AP11)</f>
        <v>1</v>
      </c>
      <c r="AQ14" s="16">
        <f>--AND(Measurements!AQ14&gt;='mean-3Sigma'!AQ11, Measurements!AQ14&lt;='mean+3Sigma'!AQ11)</f>
        <v>1</v>
      </c>
      <c r="AR14" s="16">
        <f>--AND(Measurements!AR14&gt;='mean-3Sigma'!AR11, Measurements!AR14&lt;='mean+3Sigma'!AR11)</f>
        <v>1</v>
      </c>
      <c r="AS14" s="16">
        <f>--AND(Measurements!AS14&gt;='mean-3Sigma'!AS11, Measurements!AS14&lt;='mean+3Sigma'!AS11)</f>
        <v>0</v>
      </c>
      <c r="AT14" s="16">
        <f>--AND(Measurements!AT14&gt;='mean-3Sigma'!AT11, Measurements!AT14&lt;='mean+3Sigma'!AT11)</f>
        <v>1</v>
      </c>
      <c r="AU14" s="16">
        <f>--AND(Measurements!AU14&gt;='mean-3Sigma'!AU11, Measurements!AU14&lt;='mean+3Sigma'!AU11)</f>
        <v>0</v>
      </c>
      <c r="AV14" s="16">
        <f>--AND(Measurements!AV14&gt;='mean-3Sigma'!AV11, Measurements!AV14&lt;='mean+3Sigma'!AV11)</f>
        <v>1</v>
      </c>
      <c r="AW14" s="16">
        <f>--AND(Measurements!AW14&gt;='mean-3Sigma'!AW11, Measurements!AW14&lt;='mean+3Sigma'!AW11)</f>
        <v>1</v>
      </c>
      <c r="AX14" s="16">
        <f>--AND(Measurements!AX14&gt;='mean-3Sigma'!AX11, Measurements!AX14&lt;='mean+3Sigma'!AX11)</f>
        <v>1</v>
      </c>
    </row>
    <row r="15" spans="1:50">
      <c r="A15">
        <v>255</v>
      </c>
      <c r="B15" s="16">
        <f>--AND(Measurements!B15&gt;='mean-3Sigma'!B12, Measurements!B15&lt;='mean+3Sigma'!B12)</f>
        <v>1</v>
      </c>
      <c r="C15" s="16">
        <f>--AND(Measurements!C15&gt;='mean-3Sigma'!C12, Measurements!C15&lt;='mean+3Sigma'!C12)</f>
        <v>1</v>
      </c>
      <c r="D15" s="16">
        <f>--AND(Measurements!D15&gt;='mean-3Sigma'!D12, Measurements!D15&lt;='mean+3Sigma'!D12)</f>
        <v>1</v>
      </c>
      <c r="E15" s="16">
        <f>--AND(Measurements!E15&gt;='mean-3Sigma'!E12, Measurements!E15&lt;='mean+3Sigma'!E12)</f>
        <v>1</v>
      </c>
      <c r="F15" s="16">
        <f>--AND(Measurements!F15&gt;='mean-3Sigma'!F12, Measurements!F15&lt;='mean+3Sigma'!F12)</f>
        <v>1</v>
      </c>
      <c r="G15" s="16">
        <f>--AND(Measurements!G15&gt;='mean-3Sigma'!G12, Measurements!G15&lt;='mean+3Sigma'!G12)</f>
        <v>1</v>
      </c>
      <c r="H15" s="16">
        <f>--AND(Measurements!H15&gt;='mean-3Sigma'!H12, Measurements!H15&lt;='mean+3Sigma'!H12)</f>
        <v>1</v>
      </c>
      <c r="I15" s="16">
        <f>--AND(Measurements!I15&gt;='mean-3Sigma'!I12, Measurements!I15&lt;='mean+3Sigma'!I12)</f>
        <v>1</v>
      </c>
      <c r="J15" s="16">
        <f>--AND(Measurements!J15&gt;='mean-3Sigma'!J12, Measurements!J15&lt;='mean+3Sigma'!J12)</f>
        <v>1</v>
      </c>
      <c r="K15" s="16">
        <f>--AND(Measurements!K15&gt;='mean-3Sigma'!K12, Measurements!K15&lt;='mean+3Sigma'!K12)</f>
        <v>1</v>
      </c>
      <c r="L15" s="16">
        <f>--AND(Measurements!L15&gt;='mean-3Sigma'!L12, Measurements!L15&lt;='mean+3Sigma'!L12)</f>
        <v>1</v>
      </c>
      <c r="M15" s="16">
        <f>--AND(Measurements!M15&gt;='mean-3Sigma'!M12, Measurements!M15&lt;='mean+3Sigma'!M12)</f>
        <v>1</v>
      </c>
      <c r="N15" s="16">
        <f>--AND(Measurements!N15&gt;='mean-3Sigma'!N12, Measurements!N15&lt;='mean+3Sigma'!N12)</f>
        <v>1</v>
      </c>
      <c r="O15" s="16">
        <f>--AND(Measurements!O15&gt;='mean-3Sigma'!O12, Measurements!O15&lt;='mean+3Sigma'!O12)</f>
        <v>1</v>
      </c>
      <c r="P15" s="16">
        <f>--AND(Measurements!P15&gt;='mean-3Sigma'!P12, Measurements!P15&lt;='mean+3Sigma'!P12)</f>
        <v>1</v>
      </c>
      <c r="Q15" s="16">
        <f>--AND(Measurements!Q15&gt;='mean-3Sigma'!Q12, Measurements!Q15&lt;='mean+3Sigma'!Q12)</f>
        <v>1</v>
      </c>
      <c r="R15" s="16">
        <f>--AND(Measurements!R15&gt;='mean-3Sigma'!R12, Measurements!R15&lt;='mean+3Sigma'!R12)</f>
        <v>1</v>
      </c>
      <c r="S15" s="16">
        <f>--AND(Measurements!S15&gt;='mean-3Sigma'!S12, Measurements!S15&lt;='mean+3Sigma'!S12)</f>
        <v>1</v>
      </c>
      <c r="T15" s="16">
        <f>--AND(Measurements!T15&gt;='mean-3Sigma'!T12, Measurements!T15&lt;='mean+3Sigma'!T12)</f>
        <v>1</v>
      </c>
      <c r="U15" s="16">
        <f>--AND(Measurements!U15&gt;='mean-3Sigma'!U12, Measurements!U15&lt;='mean+3Sigma'!U12)</f>
        <v>1</v>
      </c>
      <c r="V15" s="16">
        <f>--AND(Measurements!V15&gt;='mean-3Sigma'!V12, Measurements!V15&lt;='mean+3Sigma'!V12)</f>
        <v>1</v>
      </c>
      <c r="W15" s="16">
        <f>--AND(Measurements!W15&gt;='mean-3Sigma'!W12, Measurements!W15&lt;='mean+3Sigma'!W12)</f>
        <v>1</v>
      </c>
      <c r="X15" s="16">
        <f>--AND(Measurements!X15&gt;='mean-3Sigma'!X12, Measurements!X15&lt;='mean+3Sigma'!X12)</f>
        <v>1</v>
      </c>
      <c r="Y15" s="16">
        <f>--AND(Measurements!Y15&gt;='mean-3Sigma'!Y12, Measurements!Y15&lt;='mean+3Sigma'!Y12)</f>
        <v>1</v>
      </c>
      <c r="Z15" s="16">
        <f>--AND(Measurements!Z15&gt;='mean-3Sigma'!Z12, Measurements!Z15&lt;='mean+3Sigma'!Z12)</f>
        <v>1</v>
      </c>
      <c r="AA15" s="16">
        <f>--AND(Measurements!AA15&gt;='mean-3Sigma'!AA12, Measurements!AA15&lt;='mean+3Sigma'!AA12)</f>
        <v>1</v>
      </c>
      <c r="AB15" s="16">
        <f>--AND(Measurements!AB15&gt;='mean-3Sigma'!AB12, Measurements!AB15&lt;='mean+3Sigma'!AB12)</f>
        <v>1</v>
      </c>
      <c r="AC15" s="16">
        <f>--AND(Measurements!AC15&gt;='mean-3Sigma'!AC12, Measurements!AC15&lt;='mean+3Sigma'!AC12)</f>
        <v>1</v>
      </c>
      <c r="AD15" s="16">
        <f>--AND(Measurements!AD15&gt;='mean-3Sigma'!AD12, Measurements!AD15&lt;='mean+3Sigma'!AD12)</f>
        <v>1</v>
      </c>
      <c r="AE15" s="16">
        <f>--AND(Measurements!AE15&gt;='mean-3Sigma'!AE12, Measurements!AE15&lt;='mean+3Sigma'!AE12)</f>
        <v>1</v>
      </c>
      <c r="AF15" s="16">
        <f>--AND(Measurements!AF15&gt;='mean-3Sigma'!AF12, Measurements!AF15&lt;='mean+3Sigma'!AF12)</f>
        <v>1</v>
      </c>
      <c r="AG15" s="16">
        <f>--AND(Measurements!AG15&gt;='mean-3Sigma'!AG12, Measurements!AG15&lt;='mean+3Sigma'!AG12)</f>
        <v>1</v>
      </c>
      <c r="AH15" s="16">
        <f>--AND(Measurements!AH15&gt;='mean-3Sigma'!AH12, Measurements!AH15&lt;='mean+3Sigma'!AH12)</f>
        <v>1</v>
      </c>
      <c r="AI15" s="16">
        <f>--AND(Measurements!AI15&gt;='mean-3Sigma'!AI12, Measurements!AI15&lt;='mean+3Sigma'!AI12)</f>
        <v>1</v>
      </c>
      <c r="AJ15" s="16">
        <f>--AND(Measurements!AJ15&gt;='mean-3Sigma'!AJ12, Measurements!AJ15&lt;='mean+3Sigma'!AJ12)</f>
        <v>1</v>
      </c>
      <c r="AK15" s="16">
        <f>--AND(Measurements!AK15&gt;='mean-3Sigma'!AK12, Measurements!AK15&lt;='mean+3Sigma'!AK12)</f>
        <v>1</v>
      </c>
      <c r="AL15" s="16">
        <f>--AND(Measurements!AL15&gt;='mean-3Sigma'!AL12, Measurements!AL15&lt;='mean+3Sigma'!AL12)</f>
        <v>1</v>
      </c>
      <c r="AM15" s="16">
        <f>--AND(Measurements!AM15&gt;='mean-3Sigma'!AM12, Measurements!AM15&lt;='mean+3Sigma'!AM12)</f>
        <v>1</v>
      </c>
      <c r="AN15" s="16">
        <f>--AND(Measurements!AN15&gt;='mean-3Sigma'!AN12, Measurements!AN15&lt;='mean+3Sigma'!AN12)</f>
        <v>1</v>
      </c>
      <c r="AO15" s="16">
        <f>--AND(Measurements!AO15&gt;='mean-3Sigma'!AO12, Measurements!AO15&lt;='mean+3Sigma'!AO12)</f>
        <v>1</v>
      </c>
      <c r="AP15" s="16">
        <f>--AND(Measurements!AP15&gt;='mean-3Sigma'!AP12, Measurements!AP15&lt;='mean+3Sigma'!AP12)</f>
        <v>1</v>
      </c>
      <c r="AQ15" s="16">
        <f>--AND(Measurements!AQ15&gt;='mean-3Sigma'!AQ12, Measurements!AQ15&lt;='mean+3Sigma'!AQ12)</f>
        <v>1</v>
      </c>
      <c r="AR15" s="16">
        <f>--AND(Measurements!AR15&gt;='mean-3Sigma'!AR12, Measurements!AR15&lt;='mean+3Sigma'!AR12)</f>
        <v>1</v>
      </c>
      <c r="AS15" s="16">
        <f>--AND(Measurements!AS15&gt;='mean-3Sigma'!AS12, Measurements!AS15&lt;='mean+3Sigma'!AS12)</f>
        <v>0</v>
      </c>
      <c r="AT15" s="16">
        <f>--AND(Measurements!AT15&gt;='mean-3Sigma'!AT12, Measurements!AT15&lt;='mean+3Sigma'!AT12)</f>
        <v>1</v>
      </c>
      <c r="AU15" s="16">
        <f>--AND(Measurements!AU15&gt;='mean-3Sigma'!AU12, Measurements!AU15&lt;='mean+3Sigma'!AU12)</f>
        <v>0</v>
      </c>
      <c r="AV15" s="16">
        <f>--AND(Measurements!AV15&gt;='mean-3Sigma'!AV12, Measurements!AV15&lt;='mean+3Sigma'!AV12)</f>
        <v>1</v>
      </c>
      <c r="AW15" s="16">
        <f>--AND(Measurements!AW15&gt;='mean-3Sigma'!AW12, Measurements!AW15&lt;='mean+3Sigma'!AW12)</f>
        <v>1</v>
      </c>
      <c r="AX15" s="16">
        <f>--AND(Measurements!AX15&gt;='mean-3Sigma'!AX12, Measurements!AX15&lt;='mean+3Sigma'!AX12)</f>
        <v>1</v>
      </c>
    </row>
    <row r="16" spans="1:50">
      <c r="A16">
        <v>255</v>
      </c>
      <c r="B16" s="16">
        <f>--AND(Measurements!B16&gt;='mean-3Sigma'!B13, Measurements!B16&lt;='mean+3Sigma'!B13)</f>
        <v>1</v>
      </c>
      <c r="C16" s="16">
        <f>--AND(Measurements!C16&gt;='mean-3Sigma'!C13, Measurements!C16&lt;='mean+3Sigma'!C13)</f>
        <v>1</v>
      </c>
      <c r="D16" s="16">
        <f>--AND(Measurements!D16&gt;='mean-3Sigma'!D13, Measurements!D16&lt;='mean+3Sigma'!D13)</f>
        <v>1</v>
      </c>
      <c r="E16" s="16">
        <f>--AND(Measurements!E16&gt;='mean-3Sigma'!E13, Measurements!E16&lt;='mean+3Sigma'!E13)</f>
        <v>1</v>
      </c>
      <c r="F16" s="16">
        <f>--AND(Measurements!F16&gt;='mean-3Sigma'!F13, Measurements!F16&lt;='mean+3Sigma'!F13)</f>
        <v>1</v>
      </c>
      <c r="G16" s="16">
        <f>--AND(Measurements!G16&gt;='mean-3Sigma'!G13, Measurements!G16&lt;='mean+3Sigma'!G13)</f>
        <v>1</v>
      </c>
      <c r="H16" s="16">
        <f>--AND(Measurements!H16&gt;='mean-3Sigma'!H13, Measurements!H16&lt;='mean+3Sigma'!H13)</f>
        <v>1</v>
      </c>
      <c r="I16" s="16">
        <f>--AND(Measurements!I16&gt;='mean-3Sigma'!I13, Measurements!I16&lt;='mean+3Sigma'!I13)</f>
        <v>1</v>
      </c>
      <c r="J16" s="16">
        <f>--AND(Measurements!J16&gt;='mean-3Sigma'!J13, Measurements!J16&lt;='mean+3Sigma'!J13)</f>
        <v>1</v>
      </c>
      <c r="K16" s="16">
        <f>--AND(Measurements!K16&gt;='mean-3Sigma'!K13, Measurements!K16&lt;='mean+3Sigma'!K13)</f>
        <v>1</v>
      </c>
      <c r="L16" s="16">
        <f>--AND(Measurements!L16&gt;='mean-3Sigma'!L13, Measurements!L16&lt;='mean+3Sigma'!L13)</f>
        <v>1</v>
      </c>
      <c r="M16" s="16">
        <f>--AND(Measurements!M16&gt;='mean-3Sigma'!M13, Measurements!M16&lt;='mean+3Sigma'!M13)</f>
        <v>1</v>
      </c>
      <c r="N16" s="16">
        <f>--AND(Measurements!N16&gt;='mean-3Sigma'!N13, Measurements!N16&lt;='mean+3Sigma'!N13)</f>
        <v>1</v>
      </c>
      <c r="O16" s="16">
        <f>--AND(Measurements!O16&gt;='mean-3Sigma'!O13, Measurements!O16&lt;='mean+3Sigma'!O13)</f>
        <v>1</v>
      </c>
      <c r="P16" s="16">
        <f>--AND(Measurements!P16&gt;='mean-3Sigma'!P13, Measurements!P16&lt;='mean+3Sigma'!P13)</f>
        <v>1</v>
      </c>
      <c r="Q16" s="16">
        <f>--AND(Measurements!Q16&gt;='mean-3Sigma'!Q13, Measurements!Q16&lt;='mean+3Sigma'!Q13)</f>
        <v>1</v>
      </c>
      <c r="R16" s="16">
        <f>--AND(Measurements!R16&gt;='mean-3Sigma'!R13, Measurements!R16&lt;='mean+3Sigma'!R13)</f>
        <v>1</v>
      </c>
      <c r="S16" s="16">
        <f>--AND(Measurements!S16&gt;='mean-3Sigma'!S13, Measurements!S16&lt;='mean+3Sigma'!S13)</f>
        <v>1</v>
      </c>
      <c r="T16" s="16">
        <f>--AND(Measurements!T16&gt;='mean-3Sigma'!T13, Measurements!T16&lt;='mean+3Sigma'!T13)</f>
        <v>1</v>
      </c>
      <c r="U16" s="16">
        <f>--AND(Measurements!U16&gt;='mean-3Sigma'!U13, Measurements!U16&lt;='mean+3Sigma'!U13)</f>
        <v>1</v>
      </c>
      <c r="V16" s="16">
        <f>--AND(Measurements!V16&gt;='mean-3Sigma'!V13, Measurements!V16&lt;='mean+3Sigma'!V13)</f>
        <v>1</v>
      </c>
      <c r="W16" s="16">
        <f>--AND(Measurements!W16&gt;='mean-3Sigma'!W13, Measurements!W16&lt;='mean+3Sigma'!W13)</f>
        <v>1</v>
      </c>
      <c r="X16" s="16">
        <f>--AND(Measurements!X16&gt;='mean-3Sigma'!X13, Measurements!X16&lt;='mean+3Sigma'!X13)</f>
        <v>1</v>
      </c>
      <c r="Y16" s="16">
        <f>--AND(Measurements!Y16&gt;='mean-3Sigma'!Y13, Measurements!Y16&lt;='mean+3Sigma'!Y13)</f>
        <v>1</v>
      </c>
      <c r="Z16" s="16">
        <f>--AND(Measurements!Z16&gt;='mean-3Sigma'!Z13, Measurements!Z16&lt;='mean+3Sigma'!Z13)</f>
        <v>1</v>
      </c>
      <c r="AA16" s="16">
        <f>--AND(Measurements!AA16&gt;='mean-3Sigma'!AA13, Measurements!AA16&lt;='mean+3Sigma'!AA13)</f>
        <v>1</v>
      </c>
      <c r="AB16" s="16">
        <f>--AND(Measurements!AB16&gt;='mean-3Sigma'!AB13, Measurements!AB16&lt;='mean+3Sigma'!AB13)</f>
        <v>1</v>
      </c>
      <c r="AC16" s="16">
        <f>--AND(Measurements!AC16&gt;='mean-3Sigma'!AC13, Measurements!AC16&lt;='mean+3Sigma'!AC13)</f>
        <v>1</v>
      </c>
      <c r="AD16" s="16">
        <f>--AND(Measurements!AD16&gt;='mean-3Sigma'!AD13, Measurements!AD16&lt;='mean+3Sigma'!AD13)</f>
        <v>1</v>
      </c>
      <c r="AE16" s="16">
        <f>--AND(Measurements!AE16&gt;='mean-3Sigma'!AE13, Measurements!AE16&lt;='mean+3Sigma'!AE13)</f>
        <v>1</v>
      </c>
      <c r="AF16" s="16">
        <f>--AND(Measurements!AF16&gt;='mean-3Sigma'!AF13, Measurements!AF16&lt;='mean+3Sigma'!AF13)</f>
        <v>1</v>
      </c>
      <c r="AG16" s="16">
        <f>--AND(Measurements!AG16&gt;='mean-3Sigma'!AG13, Measurements!AG16&lt;='mean+3Sigma'!AG13)</f>
        <v>1</v>
      </c>
      <c r="AH16" s="16">
        <f>--AND(Measurements!AH16&gt;='mean-3Sigma'!AH13, Measurements!AH16&lt;='mean+3Sigma'!AH13)</f>
        <v>1</v>
      </c>
      <c r="AI16" s="16">
        <f>--AND(Measurements!AI16&gt;='mean-3Sigma'!AI13, Measurements!AI16&lt;='mean+3Sigma'!AI13)</f>
        <v>1</v>
      </c>
      <c r="AJ16" s="16">
        <f>--AND(Measurements!AJ16&gt;='mean-3Sigma'!AJ13, Measurements!AJ16&lt;='mean+3Sigma'!AJ13)</f>
        <v>1</v>
      </c>
      <c r="AK16" s="16">
        <f>--AND(Measurements!AK16&gt;='mean-3Sigma'!AK13, Measurements!AK16&lt;='mean+3Sigma'!AK13)</f>
        <v>1</v>
      </c>
      <c r="AL16" s="16">
        <f>--AND(Measurements!AL16&gt;='mean-3Sigma'!AL13, Measurements!AL16&lt;='mean+3Sigma'!AL13)</f>
        <v>1</v>
      </c>
      <c r="AM16" s="16">
        <f>--AND(Measurements!AM16&gt;='mean-3Sigma'!AM13, Measurements!AM16&lt;='mean+3Sigma'!AM13)</f>
        <v>1</v>
      </c>
      <c r="AN16" s="16">
        <f>--AND(Measurements!AN16&gt;='mean-3Sigma'!AN13, Measurements!AN16&lt;='mean+3Sigma'!AN13)</f>
        <v>1</v>
      </c>
      <c r="AO16" s="16">
        <f>--AND(Measurements!AO16&gt;='mean-3Sigma'!AO13, Measurements!AO16&lt;='mean+3Sigma'!AO13)</f>
        <v>1</v>
      </c>
      <c r="AP16" s="16">
        <f>--AND(Measurements!AP16&gt;='mean-3Sigma'!AP13, Measurements!AP16&lt;='mean+3Sigma'!AP13)</f>
        <v>1</v>
      </c>
      <c r="AQ16" s="16">
        <f>--AND(Measurements!AQ16&gt;='mean-3Sigma'!AQ13, Measurements!AQ16&lt;='mean+3Sigma'!AQ13)</f>
        <v>1</v>
      </c>
      <c r="AR16" s="16">
        <f>--AND(Measurements!AR16&gt;='mean-3Sigma'!AR13, Measurements!AR16&lt;='mean+3Sigma'!AR13)</f>
        <v>1</v>
      </c>
      <c r="AS16" s="16">
        <f>--AND(Measurements!AS16&gt;='mean-3Sigma'!AS13, Measurements!AS16&lt;='mean+3Sigma'!AS13)</f>
        <v>0</v>
      </c>
      <c r="AT16" s="16">
        <f>--AND(Measurements!AT16&gt;='mean-3Sigma'!AT13, Measurements!AT16&lt;='mean+3Sigma'!AT13)</f>
        <v>1</v>
      </c>
      <c r="AU16" s="16">
        <f>--AND(Measurements!AU16&gt;='mean-3Sigma'!AU13, Measurements!AU16&lt;='mean+3Sigma'!AU13)</f>
        <v>0</v>
      </c>
      <c r="AV16" s="16">
        <f>--AND(Measurements!AV16&gt;='mean-3Sigma'!AV13, Measurements!AV16&lt;='mean+3Sigma'!AV13)</f>
        <v>1</v>
      </c>
      <c r="AW16" s="16">
        <f>--AND(Measurements!AW16&gt;='mean-3Sigma'!AW13, Measurements!AW16&lt;='mean+3Sigma'!AW13)</f>
        <v>1</v>
      </c>
      <c r="AX16" s="16">
        <f>--AND(Measurements!AX16&gt;='mean-3Sigma'!AX13, Measurements!AX16&lt;='mean+3Sigma'!AX13)</f>
        <v>1</v>
      </c>
    </row>
    <row r="17" spans="1:50">
      <c r="A17">
        <v>255</v>
      </c>
      <c r="B17" s="16">
        <f>--AND(Measurements!B17&gt;='mean-3Sigma'!B14, Measurements!B17&lt;='mean+3Sigma'!B14)</f>
        <v>1</v>
      </c>
      <c r="C17" s="16">
        <f>--AND(Measurements!C17&gt;='mean-3Sigma'!C14, Measurements!C17&lt;='mean+3Sigma'!C14)</f>
        <v>1</v>
      </c>
      <c r="D17" s="16">
        <f>--AND(Measurements!D17&gt;='mean-3Sigma'!D14, Measurements!D17&lt;='mean+3Sigma'!D14)</f>
        <v>1</v>
      </c>
      <c r="E17" s="16">
        <f>--AND(Measurements!E17&gt;='mean-3Sigma'!E14, Measurements!E17&lt;='mean+3Sigma'!E14)</f>
        <v>1</v>
      </c>
      <c r="F17" s="16">
        <f>--AND(Measurements!F17&gt;='mean-3Sigma'!F14, Measurements!F17&lt;='mean+3Sigma'!F14)</f>
        <v>1</v>
      </c>
      <c r="G17" s="16">
        <f>--AND(Measurements!G17&gt;='mean-3Sigma'!G14, Measurements!G17&lt;='mean+3Sigma'!G14)</f>
        <v>1</v>
      </c>
      <c r="H17" s="16">
        <f>--AND(Measurements!H17&gt;='mean-3Sigma'!H14, Measurements!H17&lt;='mean+3Sigma'!H14)</f>
        <v>1</v>
      </c>
      <c r="I17" s="16">
        <f>--AND(Measurements!I17&gt;='mean-3Sigma'!I14, Measurements!I17&lt;='mean+3Sigma'!I14)</f>
        <v>1</v>
      </c>
      <c r="J17" s="16">
        <f>--AND(Measurements!J17&gt;='mean-3Sigma'!J14, Measurements!J17&lt;='mean+3Sigma'!J14)</f>
        <v>1</v>
      </c>
      <c r="K17" s="16">
        <f>--AND(Measurements!K17&gt;='mean-3Sigma'!K14, Measurements!K17&lt;='mean+3Sigma'!K14)</f>
        <v>1</v>
      </c>
      <c r="L17" s="16">
        <f>--AND(Measurements!L17&gt;='mean-3Sigma'!L14, Measurements!L17&lt;='mean+3Sigma'!L14)</f>
        <v>1</v>
      </c>
      <c r="M17" s="16">
        <f>--AND(Measurements!M17&gt;='mean-3Sigma'!M14, Measurements!M17&lt;='mean+3Sigma'!M14)</f>
        <v>1</v>
      </c>
      <c r="N17" s="16">
        <f>--AND(Measurements!N17&gt;='mean-3Sigma'!N14, Measurements!N17&lt;='mean+3Sigma'!N14)</f>
        <v>1</v>
      </c>
      <c r="O17" s="16">
        <f>--AND(Measurements!O17&gt;='mean-3Sigma'!O14, Measurements!O17&lt;='mean+3Sigma'!O14)</f>
        <v>1</v>
      </c>
      <c r="P17" s="16">
        <f>--AND(Measurements!P17&gt;='mean-3Sigma'!P14, Measurements!P17&lt;='mean+3Sigma'!P14)</f>
        <v>1</v>
      </c>
      <c r="Q17" s="16">
        <f>--AND(Measurements!Q17&gt;='mean-3Sigma'!Q14, Measurements!Q17&lt;='mean+3Sigma'!Q14)</f>
        <v>1</v>
      </c>
      <c r="R17" s="16">
        <f>--AND(Measurements!R17&gt;='mean-3Sigma'!R14, Measurements!R17&lt;='mean+3Sigma'!R14)</f>
        <v>1</v>
      </c>
      <c r="S17" s="16">
        <f>--AND(Measurements!S17&gt;='mean-3Sigma'!S14, Measurements!S17&lt;='mean+3Sigma'!S14)</f>
        <v>1</v>
      </c>
      <c r="T17" s="16">
        <f>--AND(Measurements!T17&gt;='mean-3Sigma'!T14, Measurements!T17&lt;='mean+3Sigma'!T14)</f>
        <v>1</v>
      </c>
      <c r="U17" s="16">
        <f>--AND(Measurements!U17&gt;='mean-3Sigma'!U14, Measurements!U17&lt;='mean+3Sigma'!U14)</f>
        <v>1</v>
      </c>
      <c r="V17" s="16">
        <f>--AND(Measurements!V17&gt;='mean-3Sigma'!V14, Measurements!V17&lt;='mean+3Sigma'!V14)</f>
        <v>1</v>
      </c>
      <c r="W17" s="16">
        <f>--AND(Measurements!W17&gt;='mean-3Sigma'!W14, Measurements!W17&lt;='mean+3Sigma'!W14)</f>
        <v>1</v>
      </c>
      <c r="X17" s="16">
        <f>--AND(Measurements!X17&gt;='mean-3Sigma'!X14, Measurements!X17&lt;='mean+3Sigma'!X14)</f>
        <v>1</v>
      </c>
      <c r="Y17" s="16">
        <f>--AND(Measurements!Y17&gt;='mean-3Sigma'!Y14, Measurements!Y17&lt;='mean+3Sigma'!Y14)</f>
        <v>1</v>
      </c>
      <c r="Z17" s="16">
        <f>--AND(Measurements!Z17&gt;='mean-3Sigma'!Z14, Measurements!Z17&lt;='mean+3Sigma'!Z14)</f>
        <v>1</v>
      </c>
      <c r="AA17" s="16">
        <f>--AND(Measurements!AA17&gt;='mean-3Sigma'!AA14, Measurements!AA17&lt;='mean+3Sigma'!AA14)</f>
        <v>1</v>
      </c>
      <c r="AB17" s="16">
        <f>--AND(Measurements!AB17&gt;='mean-3Sigma'!AB14, Measurements!AB17&lt;='mean+3Sigma'!AB14)</f>
        <v>1</v>
      </c>
      <c r="AC17" s="16">
        <f>--AND(Measurements!AC17&gt;='mean-3Sigma'!AC14, Measurements!AC17&lt;='mean+3Sigma'!AC14)</f>
        <v>1</v>
      </c>
      <c r="AD17" s="16">
        <f>--AND(Measurements!AD17&gt;='mean-3Sigma'!AD14, Measurements!AD17&lt;='mean+3Sigma'!AD14)</f>
        <v>1</v>
      </c>
      <c r="AE17" s="16">
        <f>--AND(Measurements!AE17&gt;='mean-3Sigma'!AE14, Measurements!AE17&lt;='mean+3Sigma'!AE14)</f>
        <v>1</v>
      </c>
      <c r="AF17" s="16">
        <f>--AND(Measurements!AF17&gt;='mean-3Sigma'!AF14, Measurements!AF17&lt;='mean+3Sigma'!AF14)</f>
        <v>1</v>
      </c>
      <c r="AG17" s="16">
        <f>--AND(Measurements!AG17&gt;='mean-3Sigma'!AG14, Measurements!AG17&lt;='mean+3Sigma'!AG14)</f>
        <v>1</v>
      </c>
      <c r="AH17" s="16">
        <f>--AND(Measurements!AH17&gt;='mean-3Sigma'!AH14, Measurements!AH17&lt;='mean+3Sigma'!AH14)</f>
        <v>1</v>
      </c>
      <c r="AI17" s="16">
        <f>--AND(Measurements!AI17&gt;='mean-3Sigma'!AI14, Measurements!AI17&lt;='mean+3Sigma'!AI14)</f>
        <v>1</v>
      </c>
      <c r="AJ17" s="16">
        <f>--AND(Measurements!AJ17&gt;='mean-3Sigma'!AJ14, Measurements!AJ17&lt;='mean+3Sigma'!AJ14)</f>
        <v>1</v>
      </c>
      <c r="AK17" s="16">
        <f>--AND(Measurements!AK17&gt;='mean-3Sigma'!AK14, Measurements!AK17&lt;='mean+3Sigma'!AK14)</f>
        <v>1</v>
      </c>
      <c r="AL17" s="16">
        <f>--AND(Measurements!AL17&gt;='mean-3Sigma'!AL14, Measurements!AL17&lt;='mean+3Sigma'!AL14)</f>
        <v>1</v>
      </c>
      <c r="AM17" s="16">
        <f>--AND(Measurements!AM17&gt;='mean-3Sigma'!AM14, Measurements!AM17&lt;='mean+3Sigma'!AM14)</f>
        <v>1</v>
      </c>
      <c r="AN17" s="16">
        <f>--AND(Measurements!AN17&gt;='mean-3Sigma'!AN14, Measurements!AN17&lt;='mean+3Sigma'!AN14)</f>
        <v>1</v>
      </c>
      <c r="AO17" s="16">
        <f>--AND(Measurements!AO17&gt;='mean-3Sigma'!AO14, Measurements!AO17&lt;='mean+3Sigma'!AO14)</f>
        <v>1</v>
      </c>
      <c r="AP17" s="16">
        <f>--AND(Measurements!AP17&gt;='mean-3Sigma'!AP14, Measurements!AP17&lt;='mean+3Sigma'!AP14)</f>
        <v>1</v>
      </c>
      <c r="AQ17" s="16">
        <f>--AND(Measurements!AQ17&gt;='mean-3Sigma'!AQ14, Measurements!AQ17&lt;='mean+3Sigma'!AQ14)</f>
        <v>1</v>
      </c>
      <c r="AR17" s="16">
        <f>--AND(Measurements!AR17&gt;='mean-3Sigma'!AR14, Measurements!AR17&lt;='mean+3Sigma'!AR14)</f>
        <v>1</v>
      </c>
      <c r="AS17" s="16">
        <f>--AND(Measurements!AS17&gt;='mean-3Sigma'!AS14, Measurements!AS17&lt;='mean+3Sigma'!AS14)</f>
        <v>0</v>
      </c>
      <c r="AT17" s="16">
        <f>--AND(Measurements!AT17&gt;='mean-3Sigma'!AT14, Measurements!AT17&lt;='mean+3Sigma'!AT14)</f>
        <v>1</v>
      </c>
      <c r="AU17" s="16">
        <f>--AND(Measurements!AU17&gt;='mean-3Sigma'!AU14, Measurements!AU17&lt;='mean+3Sigma'!AU14)</f>
        <v>0</v>
      </c>
      <c r="AV17" s="16">
        <f>--AND(Measurements!AV17&gt;='mean-3Sigma'!AV14, Measurements!AV17&lt;='mean+3Sigma'!AV14)</f>
        <v>1</v>
      </c>
      <c r="AW17" s="16">
        <f>--AND(Measurements!AW17&gt;='mean-3Sigma'!AW14, Measurements!AW17&lt;='mean+3Sigma'!AW14)</f>
        <v>1</v>
      </c>
      <c r="AX17" s="16">
        <f>--AND(Measurements!AX17&gt;='mean-3Sigma'!AX14, Measurements!AX17&lt;='mean+3Sigma'!AX14)</f>
        <v>1</v>
      </c>
    </row>
    <row r="18" spans="1:50">
      <c r="A18">
        <v>315</v>
      </c>
      <c r="B18" s="16">
        <f>--AND(Measurements!B18&gt;='mean-3Sigma'!B15, Measurements!B18&lt;='mean+3Sigma'!B15)</f>
        <v>1</v>
      </c>
      <c r="C18" s="16">
        <f>--AND(Measurements!C18&gt;='mean-3Sigma'!C15, Measurements!C18&lt;='mean+3Sigma'!C15)</f>
        <v>1</v>
      </c>
      <c r="D18" s="16">
        <f>--AND(Measurements!D18&gt;='mean-3Sigma'!D15, Measurements!D18&lt;='mean+3Sigma'!D15)</f>
        <v>1</v>
      </c>
      <c r="E18" s="16">
        <f>--AND(Measurements!E18&gt;='mean-3Sigma'!E15, Measurements!E18&lt;='mean+3Sigma'!E15)</f>
        <v>1</v>
      </c>
      <c r="F18" s="16">
        <f>--AND(Measurements!F18&gt;='mean-3Sigma'!F15, Measurements!F18&lt;='mean+3Sigma'!F15)</f>
        <v>1</v>
      </c>
      <c r="G18" s="16">
        <f>--AND(Measurements!G18&gt;='mean-3Sigma'!G15, Measurements!G18&lt;='mean+3Sigma'!G15)</f>
        <v>1</v>
      </c>
      <c r="H18" s="16">
        <f>--AND(Measurements!H18&gt;='mean-3Sigma'!H15, Measurements!H18&lt;='mean+3Sigma'!H15)</f>
        <v>1</v>
      </c>
      <c r="I18" s="16">
        <f>--AND(Measurements!I18&gt;='mean-3Sigma'!I15, Measurements!I18&lt;='mean+3Sigma'!I15)</f>
        <v>1</v>
      </c>
      <c r="J18" s="16">
        <f>--AND(Measurements!J18&gt;='mean-3Sigma'!J15, Measurements!J18&lt;='mean+3Sigma'!J15)</f>
        <v>1</v>
      </c>
      <c r="K18" s="16">
        <f>--AND(Measurements!K18&gt;='mean-3Sigma'!K15, Measurements!K18&lt;='mean+3Sigma'!K15)</f>
        <v>1</v>
      </c>
      <c r="L18" s="16">
        <f>--AND(Measurements!L18&gt;='mean-3Sigma'!L15, Measurements!L18&lt;='mean+3Sigma'!L15)</f>
        <v>1</v>
      </c>
      <c r="M18" s="16">
        <f>--AND(Measurements!M18&gt;='mean-3Sigma'!M15, Measurements!M18&lt;='mean+3Sigma'!M15)</f>
        <v>1</v>
      </c>
      <c r="N18" s="16">
        <f>--AND(Measurements!N18&gt;='mean-3Sigma'!N15, Measurements!N18&lt;='mean+3Sigma'!N15)</f>
        <v>1</v>
      </c>
      <c r="O18" s="16">
        <f>--AND(Measurements!O18&gt;='mean-3Sigma'!O15, Measurements!O18&lt;='mean+3Sigma'!O15)</f>
        <v>1</v>
      </c>
      <c r="P18" s="16">
        <f>--AND(Measurements!P18&gt;='mean-3Sigma'!P15, Measurements!P18&lt;='mean+3Sigma'!P15)</f>
        <v>1</v>
      </c>
      <c r="Q18" s="16">
        <f>--AND(Measurements!Q18&gt;='mean-3Sigma'!Q15, Measurements!Q18&lt;='mean+3Sigma'!Q15)</f>
        <v>1</v>
      </c>
      <c r="R18" s="16">
        <f>--AND(Measurements!R18&gt;='mean-3Sigma'!R15, Measurements!R18&lt;='mean+3Sigma'!R15)</f>
        <v>1</v>
      </c>
      <c r="S18" s="16">
        <f>--AND(Measurements!S18&gt;='mean-3Sigma'!S15, Measurements!S18&lt;='mean+3Sigma'!S15)</f>
        <v>1</v>
      </c>
      <c r="T18" s="16">
        <f>--AND(Measurements!T18&gt;='mean-3Sigma'!T15, Measurements!T18&lt;='mean+3Sigma'!T15)</f>
        <v>1</v>
      </c>
      <c r="U18" s="16">
        <f>--AND(Measurements!U18&gt;='mean-3Sigma'!U15, Measurements!U18&lt;='mean+3Sigma'!U15)</f>
        <v>1</v>
      </c>
      <c r="V18" s="16">
        <f>--AND(Measurements!V18&gt;='mean-3Sigma'!V15, Measurements!V18&lt;='mean+3Sigma'!V15)</f>
        <v>1</v>
      </c>
      <c r="W18" s="16">
        <f>--AND(Measurements!W18&gt;='mean-3Sigma'!W15, Measurements!W18&lt;='mean+3Sigma'!W15)</f>
        <v>1</v>
      </c>
      <c r="X18" s="16">
        <f>--AND(Measurements!X18&gt;='mean-3Sigma'!X15, Measurements!X18&lt;='mean+3Sigma'!X15)</f>
        <v>1</v>
      </c>
      <c r="Y18" s="16">
        <f>--AND(Measurements!Y18&gt;='mean-3Sigma'!Y15, Measurements!Y18&lt;='mean+3Sigma'!Y15)</f>
        <v>1</v>
      </c>
      <c r="Z18" s="16">
        <f>--AND(Measurements!Z18&gt;='mean-3Sigma'!Z15, Measurements!Z18&lt;='mean+3Sigma'!Z15)</f>
        <v>1</v>
      </c>
      <c r="AA18" s="16">
        <f>--AND(Measurements!AA18&gt;='mean-3Sigma'!AA15, Measurements!AA18&lt;='mean+3Sigma'!AA15)</f>
        <v>1</v>
      </c>
      <c r="AB18" s="16">
        <f>--AND(Measurements!AB18&gt;='mean-3Sigma'!AB15, Measurements!AB18&lt;='mean+3Sigma'!AB15)</f>
        <v>1</v>
      </c>
      <c r="AC18" s="16">
        <f>--AND(Measurements!AC18&gt;='mean-3Sigma'!AC15, Measurements!AC18&lt;='mean+3Sigma'!AC15)</f>
        <v>1</v>
      </c>
      <c r="AD18" s="16">
        <f>--AND(Measurements!AD18&gt;='mean-3Sigma'!AD15, Measurements!AD18&lt;='mean+3Sigma'!AD15)</f>
        <v>1</v>
      </c>
      <c r="AE18" s="16">
        <f>--AND(Measurements!AE18&gt;='mean-3Sigma'!AE15, Measurements!AE18&lt;='mean+3Sigma'!AE15)</f>
        <v>1</v>
      </c>
      <c r="AF18" s="16">
        <f>--AND(Measurements!AF18&gt;='mean-3Sigma'!AF15, Measurements!AF18&lt;='mean+3Sigma'!AF15)</f>
        <v>1</v>
      </c>
      <c r="AG18" s="16">
        <f>--AND(Measurements!AG18&gt;='mean-3Sigma'!AG15, Measurements!AG18&lt;='mean+3Sigma'!AG15)</f>
        <v>1</v>
      </c>
      <c r="AH18" s="16">
        <f>--AND(Measurements!AH18&gt;='mean-3Sigma'!AH15, Measurements!AH18&lt;='mean+3Sigma'!AH15)</f>
        <v>1</v>
      </c>
      <c r="AI18" s="16">
        <f>--AND(Measurements!AI18&gt;='mean-3Sigma'!AI15, Measurements!AI18&lt;='mean+3Sigma'!AI15)</f>
        <v>1</v>
      </c>
      <c r="AJ18" s="16">
        <f>--AND(Measurements!AJ18&gt;='mean-3Sigma'!AJ15, Measurements!AJ18&lt;='mean+3Sigma'!AJ15)</f>
        <v>1</v>
      </c>
      <c r="AK18" s="16">
        <f>--AND(Measurements!AK18&gt;='mean-3Sigma'!AK15, Measurements!AK18&lt;='mean+3Sigma'!AK15)</f>
        <v>1</v>
      </c>
      <c r="AL18" s="16">
        <f>--AND(Measurements!AL18&gt;='mean-3Sigma'!AL15, Measurements!AL18&lt;='mean+3Sigma'!AL15)</f>
        <v>0</v>
      </c>
      <c r="AM18" s="16">
        <f>--AND(Measurements!AM18&gt;='mean-3Sigma'!AM15, Measurements!AM18&lt;='mean+3Sigma'!AM15)</f>
        <v>1</v>
      </c>
      <c r="AN18" s="16">
        <f>--AND(Measurements!AN18&gt;='mean-3Sigma'!AN15, Measurements!AN18&lt;='mean+3Sigma'!AN15)</f>
        <v>1</v>
      </c>
      <c r="AO18" s="16">
        <f>--AND(Measurements!AO18&gt;='mean-3Sigma'!AO15, Measurements!AO18&lt;='mean+3Sigma'!AO15)</f>
        <v>1</v>
      </c>
      <c r="AP18" s="16">
        <f>--AND(Measurements!AP18&gt;='mean-3Sigma'!AP15, Measurements!AP18&lt;='mean+3Sigma'!AP15)</f>
        <v>1</v>
      </c>
      <c r="AQ18" s="16">
        <f>--AND(Measurements!AQ18&gt;='mean-3Sigma'!AQ15, Measurements!AQ18&lt;='mean+3Sigma'!AQ15)</f>
        <v>1</v>
      </c>
      <c r="AR18" s="16">
        <f>--AND(Measurements!AR18&gt;='mean-3Sigma'!AR15, Measurements!AR18&lt;='mean+3Sigma'!AR15)</f>
        <v>1</v>
      </c>
      <c r="AS18" s="16">
        <f>--AND(Measurements!AS18&gt;='mean-3Sigma'!AS15, Measurements!AS18&lt;='mean+3Sigma'!AS15)</f>
        <v>0</v>
      </c>
      <c r="AT18" s="16">
        <f>--AND(Measurements!AT18&gt;='mean-3Sigma'!AT15, Measurements!AT18&lt;='mean+3Sigma'!AT15)</f>
        <v>1</v>
      </c>
      <c r="AU18" s="16">
        <f>--AND(Measurements!AU18&gt;='mean-3Sigma'!AU15, Measurements!AU18&lt;='mean+3Sigma'!AU15)</f>
        <v>0</v>
      </c>
      <c r="AV18" s="16">
        <f>--AND(Measurements!AV18&gt;='mean-3Sigma'!AV15, Measurements!AV18&lt;='mean+3Sigma'!AV15)</f>
        <v>1</v>
      </c>
      <c r="AW18" s="16">
        <f>--AND(Measurements!AW18&gt;='mean-3Sigma'!AW15, Measurements!AW18&lt;='mean+3Sigma'!AW15)</f>
        <v>1</v>
      </c>
      <c r="AX18" s="16">
        <f>--AND(Measurements!AX18&gt;='mean-3Sigma'!AX15, Measurements!AX18&lt;='mean+3Sigma'!AX15)</f>
        <v>1</v>
      </c>
    </row>
    <row r="19" spans="1:50">
      <c r="A19">
        <v>315</v>
      </c>
      <c r="B19" s="16">
        <f>--AND(Measurements!B19&gt;='mean-3Sigma'!B16, Measurements!B19&lt;='mean+3Sigma'!B16)</f>
        <v>1</v>
      </c>
      <c r="C19" s="16">
        <f>--AND(Measurements!C19&gt;='mean-3Sigma'!C16, Measurements!C19&lt;='mean+3Sigma'!C16)</f>
        <v>1</v>
      </c>
      <c r="D19" s="16">
        <f>--AND(Measurements!D19&gt;='mean-3Sigma'!D16, Measurements!D19&lt;='mean+3Sigma'!D16)</f>
        <v>1</v>
      </c>
      <c r="E19" s="16">
        <f>--AND(Measurements!E19&gt;='mean-3Sigma'!E16, Measurements!E19&lt;='mean+3Sigma'!E16)</f>
        <v>1</v>
      </c>
      <c r="F19" s="16">
        <f>--AND(Measurements!F19&gt;='mean-3Sigma'!F16, Measurements!F19&lt;='mean+3Sigma'!F16)</f>
        <v>1</v>
      </c>
      <c r="G19" s="16">
        <f>--AND(Measurements!G19&gt;='mean-3Sigma'!G16, Measurements!G19&lt;='mean+3Sigma'!G16)</f>
        <v>1</v>
      </c>
      <c r="H19" s="16">
        <f>--AND(Measurements!H19&gt;='mean-3Sigma'!H16, Measurements!H19&lt;='mean+3Sigma'!H16)</f>
        <v>1</v>
      </c>
      <c r="I19" s="16">
        <f>--AND(Measurements!I19&gt;='mean-3Sigma'!I16, Measurements!I19&lt;='mean+3Sigma'!I16)</f>
        <v>1</v>
      </c>
      <c r="J19" s="16">
        <f>--AND(Measurements!J19&gt;='mean-3Sigma'!J16, Measurements!J19&lt;='mean+3Sigma'!J16)</f>
        <v>1</v>
      </c>
      <c r="K19" s="16">
        <f>--AND(Measurements!K19&gt;='mean-3Sigma'!K16, Measurements!K19&lt;='mean+3Sigma'!K16)</f>
        <v>1</v>
      </c>
      <c r="L19" s="16">
        <f>--AND(Measurements!L19&gt;='mean-3Sigma'!L16, Measurements!L19&lt;='mean+3Sigma'!L16)</f>
        <v>1</v>
      </c>
      <c r="M19" s="16">
        <f>--AND(Measurements!M19&gt;='mean-3Sigma'!M16, Measurements!M19&lt;='mean+3Sigma'!M16)</f>
        <v>1</v>
      </c>
      <c r="N19" s="16">
        <f>--AND(Measurements!N19&gt;='mean-3Sigma'!N16, Measurements!N19&lt;='mean+3Sigma'!N16)</f>
        <v>1</v>
      </c>
      <c r="O19" s="16">
        <f>--AND(Measurements!O19&gt;='mean-3Sigma'!O16, Measurements!O19&lt;='mean+3Sigma'!O16)</f>
        <v>1</v>
      </c>
      <c r="P19" s="16">
        <f>--AND(Measurements!P19&gt;='mean-3Sigma'!P16, Measurements!P19&lt;='mean+3Sigma'!P16)</f>
        <v>1</v>
      </c>
      <c r="Q19" s="16">
        <f>--AND(Measurements!Q19&gt;='mean-3Sigma'!Q16, Measurements!Q19&lt;='mean+3Sigma'!Q16)</f>
        <v>1</v>
      </c>
      <c r="R19" s="16">
        <f>--AND(Measurements!R19&gt;='mean-3Sigma'!R16, Measurements!R19&lt;='mean+3Sigma'!R16)</f>
        <v>1</v>
      </c>
      <c r="S19" s="16">
        <f>--AND(Measurements!S19&gt;='mean-3Sigma'!S16, Measurements!S19&lt;='mean+3Sigma'!S16)</f>
        <v>1</v>
      </c>
      <c r="T19" s="16">
        <f>--AND(Measurements!T19&gt;='mean-3Sigma'!T16, Measurements!T19&lt;='mean+3Sigma'!T16)</f>
        <v>1</v>
      </c>
      <c r="U19" s="16">
        <f>--AND(Measurements!U19&gt;='mean-3Sigma'!U16, Measurements!U19&lt;='mean+3Sigma'!U16)</f>
        <v>1</v>
      </c>
      <c r="V19" s="16">
        <f>--AND(Measurements!V19&gt;='mean-3Sigma'!V16, Measurements!V19&lt;='mean+3Sigma'!V16)</f>
        <v>1</v>
      </c>
      <c r="W19" s="16">
        <f>--AND(Measurements!W19&gt;='mean-3Sigma'!W16, Measurements!W19&lt;='mean+3Sigma'!W16)</f>
        <v>1</v>
      </c>
      <c r="X19" s="16">
        <f>--AND(Measurements!X19&gt;='mean-3Sigma'!X16, Measurements!X19&lt;='mean+3Sigma'!X16)</f>
        <v>1</v>
      </c>
      <c r="Y19" s="16">
        <f>--AND(Measurements!Y19&gt;='mean-3Sigma'!Y16, Measurements!Y19&lt;='mean+3Sigma'!Y16)</f>
        <v>1</v>
      </c>
      <c r="Z19" s="16">
        <f>--AND(Measurements!Z19&gt;='mean-3Sigma'!Z16, Measurements!Z19&lt;='mean+3Sigma'!Z16)</f>
        <v>1</v>
      </c>
      <c r="AA19" s="16">
        <f>--AND(Measurements!AA19&gt;='mean-3Sigma'!AA16, Measurements!AA19&lt;='mean+3Sigma'!AA16)</f>
        <v>1</v>
      </c>
      <c r="AB19" s="16">
        <f>--AND(Measurements!AB19&gt;='mean-3Sigma'!AB16, Measurements!AB19&lt;='mean+3Sigma'!AB16)</f>
        <v>1</v>
      </c>
      <c r="AC19" s="16">
        <f>--AND(Measurements!AC19&gt;='mean-3Sigma'!AC16, Measurements!AC19&lt;='mean+3Sigma'!AC16)</f>
        <v>1</v>
      </c>
      <c r="AD19" s="16">
        <f>--AND(Measurements!AD19&gt;='mean-3Sigma'!AD16, Measurements!AD19&lt;='mean+3Sigma'!AD16)</f>
        <v>1</v>
      </c>
      <c r="AE19" s="16">
        <f>--AND(Measurements!AE19&gt;='mean-3Sigma'!AE16, Measurements!AE19&lt;='mean+3Sigma'!AE16)</f>
        <v>1</v>
      </c>
      <c r="AF19" s="16">
        <f>--AND(Measurements!AF19&gt;='mean-3Sigma'!AF16, Measurements!AF19&lt;='mean+3Sigma'!AF16)</f>
        <v>1</v>
      </c>
      <c r="AG19" s="16">
        <f>--AND(Measurements!AG19&gt;='mean-3Sigma'!AG16, Measurements!AG19&lt;='mean+3Sigma'!AG16)</f>
        <v>1</v>
      </c>
      <c r="AH19" s="16">
        <f>--AND(Measurements!AH19&gt;='mean-3Sigma'!AH16, Measurements!AH19&lt;='mean+3Sigma'!AH16)</f>
        <v>1</v>
      </c>
      <c r="AI19" s="16">
        <f>--AND(Measurements!AI19&gt;='mean-3Sigma'!AI16, Measurements!AI19&lt;='mean+3Sigma'!AI16)</f>
        <v>1</v>
      </c>
      <c r="AJ19" s="16">
        <f>--AND(Measurements!AJ19&gt;='mean-3Sigma'!AJ16, Measurements!AJ19&lt;='mean+3Sigma'!AJ16)</f>
        <v>1</v>
      </c>
      <c r="AK19" s="16">
        <f>--AND(Measurements!AK19&gt;='mean-3Sigma'!AK16, Measurements!AK19&lt;='mean+3Sigma'!AK16)</f>
        <v>1</v>
      </c>
      <c r="AL19" s="16">
        <f>--AND(Measurements!AL19&gt;='mean-3Sigma'!AL16, Measurements!AL19&lt;='mean+3Sigma'!AL16)</f>
        <v>1</v>
      </c>
      <c r="AM19" s="16">
        <f>--AND(Measurements!AM19&gt;='mean-3Sigma'!AM16, Measurements!AM19&lt;='mean+3Sigma'!AM16)</f>
        <v>1</v>
      </c>
      <c r="AN19" s="16">
        <f>--AND(Measurements!AN19&gt;='mean-3Sigma'!AN16, Measurements!AN19&lt;='mean+3Sigma'!AN16)</f>
        <v>1</v>
      </c>
      <c r="AO19" s="16">
        <f>--AND(Measurements!AO19&gt;='mean-3Sigma'!AO16, Measurements!AO19&lt;='mean+3Sigma'!AO16)</f>
        <v>1</v>
      </c>
      <c r="AP19" s="16">
        <f>--AND(Measurements!AP19&gt;='mean-3Sigma'!AP16, Measurements!AP19&lt;='mean+3Sigma'!AP16)</f>
        <v>1</v>
      </c>
      <c r="AQ19" s="16">
        <f>--AND(Measurements!AQ19&gt;='mean-3Sigma'!AQ16, Measurements!AQ19&lt;='mean+3Sigma'!AQ16)</f>
        <v>1</v>
      </c>
      <c r="AR19" s="16">
        <f>--AND(Measurements!AR19&gt;='mean-3Sigma'!AR16, Measurements!AR19&lt;='mean+3Sigma'!AR16)</f>
        <v>1</v>
      </c>
      <c r="AS19" s="16">
        <f>--AND(Measurements!AS19&gt;='mean-3Sigma'!AS16, Measurements!AS19&lt;='mean+3Sigma'!AS16)</f>
        <v>0</v>
      </c>
      <c r="AT19" s="16">
        <f>--AND(Measurements!AT19&gt;='mean-3Sigma'!AT16, Measurements!AT19&lt;='mean+3Sigma'!AT16)</f>
        <v>1</v>
      </c>
      <c r="AU19" s="16">
        <f>--AND(Measurements!AU19&gt;='mean-3Sigma'!AU16, Measurements!AU19&lt;='mean+3Sigma'!AU16)</f>
        <v>0</v>
      </c>
      <c r="AV19" s="16">
        <f>--AND(Measurements!AV19&gt;='mean-3Sigma'!AV16, Measurements!AV19&lt;='mean+3Sigma'!AV16)</f>
        <v>1</v>
      </c>
      <c r="AW19" s="16">
        <f>--AND(Measurements!AW19&gt;='mean-3Sigma'!AW16, Measurements!AW19&lt;='mean+3Sigma'!AW16)</f>
        <v>1</v>
      </c>
      <c r="AX19" s="16">
        <f>--AND(Measurements!AX19&gt;='mean-3Sigma'!AX16, Measurements!AX19&lt;='mean+3Sigma'!AX16)</f>
        <v>1</v>
      </c>
    </row>
    <row r="20" spans="1:50">
      <c r="A20">
        <v>315</v>
      </c>
      <c r="B20" s="16">
        <f>--AND(Measurements!B20&gt;='mean-3Sigma'!B17, Measurements!B20&lt;='mean+3Sigma'!B17)</f>
        <v>1</v>
      </c>
      <c r="C20" s="16">
        <f>--AND(Measurements!C20&gt;='mean-3Sigma'!C17, Measurements!C20&lt;='mean+3Sigma'!C17)</f>
        <v>1</v>
      </c>
      <c r="D20" s="16">
        <f>--AND(Measurements!D20&gt;='mean-3Sigma'!D17, Measurements!D20&lt;='mean+3Sigma'!D17)</f>
        <v>1</v>
      </c>
      <c r="E20" s="16">
        <f>--AND(Measurements!E20&gt;='mean-3Sigma'!E17, Measurements!E20&lt;='mean+3Sigma'!E17)</f>
        <v>1</v>
      </c>
      <c r="F20" s="16">
        <f>--AND(Measurements!F20&gt;='mean-3Sigma'!F17, Measurements!F20&lt;='mean+3Sigma'!F17)</f>
        <v>1</v>
      </c>
      <c r="G20" s="16">
        <f>--AND(Measurements!G20&gt;='mean-3Sigma'!G17, Measurements!G20&lt;='mean+3Sigma'!G17)</f>
        <v>1</v>
      </c>
      <c r="H20" s="16">
        <f>--AND(Measurements!H20&gt;='mean-3Sigma'!H17, Measurements!H20&lt;='mean+3Sigma'!H17)</f>
        <v>1</v>
      </c>
      <c r="I20" s="16">
        <f>--AND(Measurements!I20&gt;='mean-3Sigma'!I17, Measurements!I20&lt;='mean+3Sigma'!I17)</f>
        <v>1</v>
      </c>
      <c r="J20" s="16">
        <f>--AND(Measurements!J20&gt;='mean-3Sigma'!J17, Measurements!J20&lt;='mean+3Sigma'!J17)</f>
        <v>1</v>
      </c>
      <c r="K20" s="16">
        <f>--AND(Measurements!K20&gt;='mean-3Sigma'!K17, Measurements!K20&lt;='mean+3Sigma'!K17)</f>
        <v>1</v>
      </c>
      <c r="L20" s="16">
        <f>--AND(Measurements!L20&gt;='mean-3Sigma'!L17, Measurements!L20&lt;='mean+3Sigma'!L17)</f>
        <v>1</v>
      </c>
      <c r="M20" s="16">
        <f>--AND(Measurements!M20&gt;='mean-3Sigma'!M17, Measurements!M20&lt;='mean+3Sigma'!M17)</f>
        <v>1</v>
      </c>
      <c r="N20" s="16">
        <f>--AND(Measurements!N20&gt;='mean-3Sigma'!N17, Measurements!N20&lt;='mean+3Sigma'!N17)</f>
        <v>1</v>
      </c>
      <c r="O20" s="16">
        <f>--AND(Measurements!O20&gt;='mean-3Sigma'!O17, Measurements!O20&lt;='mean+3Sigma'!O17)</f>
        <v>1</v>
      </c>
      <c r="P20" s="16">
        <f>--AND(Measurements!P20&gt;='mean-3Sigma'!P17, Measurements!P20&lt;='mean+3Sigma'!P17)</f>
        <v>1</v>
      </c>
      <c r="Q20" s="16">
        <f>--AND(Measurements!Q20&gt;='mean-3Sigma'!Q17, Measurements!Q20&lt;='mean+3Sigma'!Q17)</f>
        <v>1</v>
      </c>
      <c r="R20" s="16">
        <f>--AND(Measurements!R20&gt;='mean-3Sigma'!R17, Measurements!R20&lt;='mean+3Sigma'!R17)</f>
        <v>1</v>
      </c>
      <c r="S20" s="16">
        <f>--AND(Measurements!S20&gt;='mean-3Sigma'!S17, Measurements!S20&lt;='mean+3Sigma'!S17)</f>
        <v>1</v>
      </c>
      <c r="T20" s="16">
        <f>--AND(Measurements!T20&gt;='mean-3Sigma'!T17, Measurements!T20&lt;='mean+3Sigma'!T17)</f>
        <v>1</v>
      </c>
      <c r="U20" s="16">
        <f>--AND(Measurements!U20&gt;='mean-3Sigma'!U17, Measurements!U20&lt;='mean+3Sigma'!U17)</f>
        <v>1</v>
      </c>
      <c r="V20" s="16">
        <f>--AND(Measurements!V20&gt;='mean-3Sigma'!V17, Measurements!V20&lt;='mean+3Sigma'!V17)</f>
        <v>1</v>
      </c>
      <c r="W20" s="16">
        <f>--AND(Measurements!W20&gt;='mean-3Sigma'!W17, Measurements!W20&lt;='mean+3Sigma'!W17)</f>
        <v>1</v>
      </c>
      <c r="X20" s="16">
        <f>--AND(Measurements!X20&gt;='mean-3Sigma'!X17, Measurements!X20&lt;='mean+3Sigma'!X17)</f>
        <v>1</v>
      </c>
      <c r="Y20" s="16">
        <f>--AND(Measurements!Y20&gt;='mean-3Sigma'!Y17, Measurements!Y20&lt;='mean+3Sigma'!Y17)</f>
        <v>1</v>
      </c>
      <c r="Z20" s="16">
        <f>--AND(Measurements!Z20&gt;='mean-3Sigma'!Z17, Measurements!Z20&lt;='mean+3Sigma'!Z17)</f>
        <v>1</v>
      </c>
      <c r="AA20" s="16">
        <f>--AND(Measurements!AA20&gt;='mean-3Sigma'!AA17, Measurements!AA20&lt;='mean+3Sigma'!AA17)</f>
        <v>1</v>
      </c>
      <c r="AB20" s="16">
        <f>--AND(Measurements!AB20&gt;='mean-3Sigma'!AB17, Measurements!AB20&lt;='mean+3Sigma'!AB17)</f>
        <v>1</v>
      </c>
      <c r="AC20" s="16">
        <f>--AND(Measurements!AC20&gt;='mean-3Sigma'!AC17, Measurements!AC20&lt;='mean+3Sigma'!AC17)</f>
        <v>1</v>
      </c>
      <c r="AD20" s="16">
        <f>--AND(Measurements!AD20&gt;='mean-3Sigma'!AD17, Measurements!AD20&lt;='mean+3Sigma'!AD17)</f>
        <v>1</v>
      </c>
      <c r="AE20" s="16">
        <f>--AND(Measurements!AE20&gt;='mean-3Sigma'!AE17, Measurements!AE20&lt;='mean+3Sigma'!AE17)</f>
        <v>1</v>
      </c>
      <c r="AF20" s="16">
        <f>--AND(Measurements!AF20&gt;='mean-3Sigma'!AF17, Measurements!AF20&lt;='mean+3Sigma'!AF17)</f>
        <v>1</v>
      </c>
      <c r="AG20" s="16">
        <f>--AND(Measurements!AG20&gt;='mean-3Sigma'!AG17, Measurements!AG20&lt;='mean+3Sigma'!AG17)</f>
        <v>1</v>
      </c>
      <c r="AH20" s="16">
        <f>--AND(Measurements!AH20&gt;='mean-3Sigma'!AH17, Measurements!AH20&lt;='mean+3Sigma'!AH17)</f>
        <v>1</v>
      </c>
      <c r="AI20" s="16">
        <f>--AND(Measurements!AI20&gt;='mean-3Sigma'!AI17, Measurements!AI20&lt;='mean+3Sigma'!AI17)</f>
        <v>1</v>
      </c>
      <c r="AJ20" s="16">
        <f>--AND(Measurements!AJ20&gt;='mean-3Sigma'!AJ17, Measurements!AJ20&lt;='mean+3Sigma'!AJ17)</f>
        <v>1</v>
      </c>
      <c r="AK20" s="16">
        <f>--AND(Measurements!AK20&gt;='mean-3Sigma'!AK17, Measurements!AK20&lt;='mean+3Sigma'!AK17)</f>
        <v>1</v>
      </c>
      <c r="AL20" s="16">
        <f>--AND(Measurements!AL20&gt;='mean-3Sigma'!AL17, Measurements!AL20&lt;='mean+3Sigma'!AL17)</f>
        <v>1</v>
      </c>
      <c r="AM20" s="16">
        <f>--AND(Measurements!AM20&gt;='mean-3Sigma'!AM17, Measurements!AM20&lt;='mean+3Sigma'!AM17)</f>
        <v>1</v>
      </c>
      <c r="AN20" s="16">
        <f>--AND(Measurements!AN20&gt;='mean-3Sigma'!AN17, Measurements!AN20&lt;='mean+3Sigma'!AN17)</f>
        <v>1</v>
      </c>
      <c r="AO20" s="16">
        <f>--AND(Measurements!AO20&gt;='mean-3Sigma'!AO17, Measurements!AO20&lt;='mean+3Sigma'!AO17)</f>
        <v>1</v>
      </c>
      <c r="AP20" s="16">
        <f>--AND(Measurements!AP20&gt;='mean-3Sigma'!AP17, Measurements!AP20&lt;='mean+3Sigma'!AP17)</f>
        <v>1</v>
      </c>
      <c r="AQ20" s="16">
        <f>--AND(Measurements!AQ20&gt;='mean-3Sigma'!AQ17, Measurements!AQ20&lt;='mean+3Sigma'!AQ17)</f>
        <v>1</v>
      </c>
      <c r="AR20" s="16">
        <f>--AND(Measurements!AR20&gt;='mean-3Sigma'!AR17, Measurements!AR20&lt;='mean+3Sigma'!AR17)</f>
        <v>1</v>
      </c>
      <c r="AS20" s="16">
        <f>--AND(Measurements!AS20&gt;='mean-3Sigma'!AS17, Measurements!AS20&lt;='mean+3Sigma'!AS17)</f>
        <v>0</v>
      </c>
      <c r="AT20" s="16">
        <f>--AND(Measurements!AT20&gt;='mean-3Sigma'!AT17, Measurements!AT20&lt;='mean+3Sigma'!AT17)</f>
        <v>1</v>
      </c>
      <c r="AU20" s="16">
        <f>--AND(Measurements!AU20&gt;='mean-3Sigma'!AU17, Measurements!AU20&lt;='mean+3Sigma'!AU17)</f>
        <v>0</v>
      </c>
      <c r="AV20" s="16">
        <f>--AND(Measurements!AV20&gt;='mean-3Sigma'!AV17, Measurements!AV20&lt;='mean+3Sigma'!AV17)</f>
        <v>1</v>
      </c>
      <c r="AW20" s="16">
        <f>--AND(Measurements!AW20&gt;='mean-3Sigma'!AW17, Measurements!AW20&lt;='mean+3Sigma'!AW17)</f>
        <v>1</v>
      </c>
      <c r="AX20" s="16">
        <f>--AND(Measurements!AX20&gt;='mean-3Sigma'!AX17, Measurements!AX20&lt;='mean+3Sigma'!AX17)</f>
        <v>1</v>
      </c>
    </row>
    <row r="21" spans="1:50">
      <c r="A21">
        <v>375</v>
      </c>
      <c r="B21" s="16">
        <f>--AND(Measurements!B21&gt;='mean-3Sigma'!B18, Measurements!B21&lt;='mean+3Sigma'!B18)</f>
        <v>1</v>
      </c>
      <c r="C21" s="16">
        <f>--AND(Measurements!C21&gt;='mean-3Sigma'!C18, Measurements!C21&lt;='mean+3Sigma'!C18)</f>
        <v>1</v>
      </c>
      <c r="D21" s="16">
        <f>--AND(Measurements!D21&gt;='mean-3Sigma'!D18, Measurements!D21&lt;='mean+3Sigma'!D18)</f>
        <v>1</v>
      </c>
      <c r="E21" s="16">
        <f>--AND(Measurements!E21&gt;='mean-3Sigma'!E18, Measurements!E21&lt;='mean+3Sigma'!E18)</f>
        <v>1</v>
      </c>
      <c r="F21" s="16">
        <f>--AND(Measurements!F21&gt;='mean-3Sigma'!F18, Measurements!F21&lt;='mean+3Sigma'!F18)</f>
        <v>1</v>
      </c>
      <c r="G21" s="16">
        <f>--AND(Measurements!G21&gt;='mean-3Sigma'!G18, Measurements!G21&lt;='mean+3Sigma'!G18)</f>
        <v>1</v>
      </c>
      <c r="H21" s="16">
        <f>--AND(Measurements!H21&gt;='mean-3Sigma'!H18, Measurements!H21&lt;='mean+3Sigma'!H18)</f>
        <v>1</v>
      </c>
      <c r="I21" s="16">
        <f>--AND(Measurements!I21&gt;='mean-3Sigma'!I18, Measurements!I21&lt;='mean+3Sigma'!I18)</f>
        <v>1</v>
      </c>
      <c r="J21" s="16">
        <f>--AND(Measurements!J21&gt;='mean-3Sigma'!J18, Measurements!J21&lt;='mean+3Sigma'!J18)</f>
        <v>1</v>
      </c>
      <c r="K21" s="16">
        <f>--AND(Measurements!K21&gt;='mean-3Sigma'!K18, Measurements!K21&lt;='mean+3Sigma'!K18)</f>
        <v>1</v>
      </c>
      <c r="L21" s="16">
        <f>--AND(Measurements!L21&gt;='mean-3Sigma'!L18, Measurements!L21&lt;='mean+3Sigma'!L18)</f>
        <v>1</v>
      </c>
      <c r="M21" s="16">
        <f>--AND(Measurements!M21&gt;='mean-3Sigma'!M18, Measurements!M21&lt;='mean+3Sigma'!M18)</f>
        <v>1</v>
      </c>
      <c r="N21" s="16">
        <f>--AND(Measurements!N21&gt;='mean-3Sigma'!N18, Measurements!N21&lt;='mean+3Sigma'!N18)</f>
        <v>1</v>
      </c>
      <c r="O21" s="16">
        <f>--AND(Measurements!O21&gt;='mean-3Sigma'!O18, Measurements!O21&lt;='mean+3Sigma'!O18)</f>
        <v>1</v>
      </c>
      <c r="P21" s="16">
        <f>--AND(Measurements!P21&gt;='mean-3Sigma'!P18, Measurements!P21&lt;='mean+3Sigma'!P18)</f>
        <v>1</v>
      </c>
      <c r="Q21" s="16">
        <f>--AND(Measurements!Q21&gt;='mean-3Sigma'!Q18, Measurements!Q21&lt;='mean+3Sigma'!Q18)</f>
        <v>1</v>
      </c>
      <c r="R21" s="16">
        <f>--AND(Measurements!R21&gt;='mean-3Sigma'!R18, Measurements!R21&lt;='mean+3Sigma'!R18)</f>
        <v>1</v>
      </c>
      <c r="S21" s="16">
        <f>--AND(Measurements!S21&gt;='mean-3Sigma'!S18, Measurements!S21&lt;='mean+3Sigma'!S18)</f>
        <v>1</v>
      </c>
      <c r="T21" s="16">
        <f>--AND(Measurements!T21&gt;='mean-3Sigma'!T18, Measurements!T21&lt;='mean+3Sigma'!T18)</f>
        <v>1</v>
      </c>
      <c r="U21" s="16">
        <f>--AND(Measurements!U21&gt;='mean-3Sigma'!U18, Measurements!U21&lt;='mean+3Sigma'!U18)</f>
        <v>1</v>
      </c>
      <c r="V21" s="16">
        <f>--AND(Measurements!V21&gt;='mean-3Sigma'!V18, Measurements!V21&lt;='mean+3Sigma'!V18)</f>
        <v>1</v>
      </c>
      <c r="W21" s="16">
        <f>--AND(Measurements!W21&gt;='mean-3Sigma'!W18, Measurements!W21&lt;='mean+3Sigma'!W18)</f>
        <v>1</v>
      </c>
      <c r="X21" s="16">
        <f>--AND(Measurements!X21&gt;='mean-3Sigma'!X18, Measurements!X21&lt;='mean+3Sigma'!X18)</f>
        <v>1</v>
      </c>
      <c r="Y21" s="16">
        <f>--AND(Measurements!Y21&gt;='mean-3Sigma'!Y18, Measurements!Y21&lt;='mean+3Sigma'!Y18)</f>
        <v>1</v>
      </c>
      <c r="Z21" s="16">
        <f>--AND(Measurements!Z21&gt;='mean-3Sigma'!Z18, Measurements!Z21&lt;='mean+3Sigma'!Z18)</f>
        <v>1</v>
      </c>
      <c r="AA21" s="16">
        <f>--AND(Measurements!AA21&gt;='mean-3Sigma'!AA18, Measurements!AA21&lt;='mean+3Sigma'!AA18)</f>
        <v>1</v>
      </c>
      <c r="AB21" s="16">
        <f>--AND(Measurements!AB21&gt;='mean-3Sigma'!AB18, Measurements!AB21&lt;='mean+3Sigma'!AB18)</f>
        <v>1</v>
      </c>
      <c r="AC21" s="16">
        <f>--AND(Measurements!AC21&gt;='mean-3Sigma'!AC18, Measurements!AC21&lt;='mean+3Sigma'!AC18)</f>
        <v>1</v>
      </c>
      <c r="AD21" s="16">
        <f>--AND(Measurements!AD21&gt;='mean-3Sigma'!AD18, Measurements!AD21&lt;='mean+3Sigma'!AD18)</f>
        <v>1</v>
      </c>
      <c r="AE21" s="16">
        <f>--AND(Measurements!AE21&gt;='mean-3Sigma'!AE18, Measurements!AE21&lt;='mean+3Sigma'!AE18)</f>
        <v>1</v>
      </c>
      <c r="AF21" s="16">
        <f>--AND(Measurements!AF21&gt;='mean-3Sigma'!AF18, Measurements!AF21&lt;='mean+3Sigma'!AF18)</f>
        <v>1</v>
      </c>
      <c r="AG21" s="16">
        <f>--AND(Measurements!AG21&gt;='mean-3Sigma'!AG18, Measurements!AG21&lt;='mean+3Sigma'!AG18)</f>
        <v>1</v>
      </c>
      <c r="AH21" s="16">
        <f>--AND(Measurements!AH21&gt;='mean-3Sigma'!AH18, Measurements!AH21&lt;='mean+3Sigma'!AH18)</f>
        <v>1</v>
      </c>
      <c r="AI21" s="16">
        <f>--AND(Measurements!AI21&gt;='mean-3Sigma'!AI18, Measurements!AI21&lt;='mean+3Sigma'!AI18)</f>
        <v>1</v>
      </c>
      <c r="AJ21" s="16">
        <f>--AND(Measurements!AJ21&gt;='mean-3Sigma'!AJ18, Measurements!AJ21&lt;='mean+3Sigma'!AJ18)</f>
        <v>1</v>
      </c>
      <c r="AK21" s="16">
        <f>--AND(Measurements!AK21&gt;='mean-3Sigma'!AK18, Measurements!AK21&lt;='mean+3Sigma'!AK18)</f>
        <v>1</v>
      </c>
      <c r="AL21" s="16">
        <f>--AND(Measurements!AL21&gt;='mean-3Sigma'!AL18, Measurements!AL21&lt;='mean+3Sigma'!AL18)</f>
        <v>1</v>
      </c>
      <c r="AM21" s="16">
        <f>--AND(Measurements!AM21&gt;='mean-3Sigma'!AM18, Measurements!AM21&lt;='mean+3Sigma'!AM18)</f>
        <v>1</v>
      </c>
      <c r="AN21" s="16">
        <f>--AND(Measurements!AN21&gt;='mean-3Sigma'!AN18, Measurements!AN21&lt;='mean+3Sigma'!AN18)</f>
        <v>1</v>
      </c>
      <c r="AO21" s="16">
        <f>--AND(Measurements!AO21&gt;='mean-3Sigma'!AO18, Measurements!AO21&lt;='mean+3Sigma'!AO18)</f>
        <v>1</v>
      </c>
      <c r="AP21" s="16">
        <f>--AND(Measurements!AP21&gt;='mean-3Sigma'!AP18, Measurements!AP21&lt;='mean+3Sigma'!AP18)</f>
        <v>1</v>
      </c>
      <c r="AQ21" s="16">
        <f>--AND(Measurements!AQ21&gt;='mean-3Sigma'!AQ18, Measurements!AQ21&lt;='mean+3Sigma'!AQ18)</f>
        <v>1</v>
      </c>
      <c r="AR21" s="16">
        <f>--AND(Measurements!AR21&gt;='mean-3Sigma'!AR18, Measurements!AR21&lt;='mean+3Sigma'!AR18)</f>
        <v>1</v>
      </c>
      <c r="AS21" s="16">
        <f>--AND(Measurements!AS21&gt;='mean-3Sigma'!AS18, Measurements!AS21&lt;='mean+3Sigma'!AS18)</f>
        <v>0</v>
      </c>
      <c r="AT21" s="16">
        <f>--AND(Measurements!AT21&gt;='mean-3Sigma'!AT18, Measurements!AT21&lt;='mean+3Sigma'!AT18)</f>
        <v>1</v>
      </c>
      <c r="AU21" s="16">
        <f>--AND(Measurements!AU21&gt;='mean-3Sigma'!AU18, Measurements!AU21&lt;='mean+3Sigma'!AU18)</f>
        <v>0</v>
      </c>
      <c r="AV21" s="16">
        <f>--AND(Measurements!AV21&gt;='mean-3Sigma'!AV18, Measurements!AV21&lt;='mean+3Sigma'!AV18)</f>
        <v>1</v>
      </c>
      <c r="AW21" s="16">
        <f>--AND(Measurements!AW21&gt;='mean-3Sigma'!AW18, Measurements!AW21&lt;='mean+3Sigma'!AW18)</f>
        <v>1</v>
      </c>
      <c r="AX21" s="16">
        <f>--AND(Measurements!AX21&gt;='mean-3Sigma'!AX18, Measurements!AX21&lt;='mean+3Sigma'!AX18)</f>
        <v>1</v>
      </c>
    </row>
    <row r="22" spans="1:50">
      <c r="A22">
        <v>375</v>
      </c>
      <c r="B22" s="16">
        <f>--AND(Measurements!B22&gt;='mean-3Sigma'!B19, Measurements!B22&lt;='mean+3Sigma'!B19)</f>
        <v>1</v>
      </c>
      <c r="C22" s="16">
        <f>--AND(Measurements!C22&gt;='mean-3Sigma'!C19, Measurements!C22&lt;='mean+3Sigma'!C19)</f>
        <v>1</v>
      </c>
      <c r="D22" s="16">
        <f>--AND(Measurements!D22&gt;='mean-3Sigma'!D19, Measurements!D22&lt;='mean+3Sigma'!D19)</f>
        <v>1</v>
      </c>
      <c r="E22" s="16">
        <f>--AND(Measurements!E22&gt;='mean-3Sigma'!E19, Measurements!E22&lt;='mean+3Sigma'!E19)</f>
        <v>1</v>
      </c>
      <c r="F22" s="16">
        <f>--AND(Measurements!F22&gt;='mean-3Sigma'!F19, Measurements!F22&lt;='mean+3Sigma'!F19)</f>
        <v>1</v>
      </c>
      <c r="G22" s="16">
        <f>--AND(Measurements!G22&gt;='mean-3Sigma'!G19, Measurements!G22&lt;='mean+3Sigma'!G19)</f>
        <v>1</v>
      </c>
      <c r="H22" s="16">
        <f>--AND(Measurements!H22&gt;='mean-3Sigma'!H19, Measurements!H22&lt;='mean+3Sigma'!H19)</f>
        <v>1</v>
      </c>
      <c r="I22" s="16">
        <f>--AND(Measurements!I22&gt;='mean-3Sigma'!I19, Measurements!I22&lt;='mean+3Sigma'!I19)</f>
        <v>1</v>
      </c>
      <c r="J22" s="16">
        <f>--AND(Measurements!J22&gt;='mean-3Sigma'!J19, Measurements!J22&lt;='mean+3Sigma'!J19)</f>
        <v>1</v>
      </c>
      <c r="K22" s="16">
        <f>--AND(Measurements!K22&gt;='mean-3Sigma'!K19, Measurements!K22&lt;='mean+3Sigma'!K19)</f>
        <v>1</v>
      </c>
      <c r="L22" s="16">
        <f>--AND(Measurements!L22&gt;='mean-3Sigma'!L19, Measurements!L22&lt;='mean+3Sigma'!L19)</f>
        <v>1</v>
      </c>
      <c r="M22" s="16">
        <f>--AND(Measurements!M22&gt;='mean-3Sigma'!M19, Measurements!M22&lt;='mean+3Sigma'!M19)</f>
        <v>1</v>
      </c>
      <c r="N22" s="16">
        <f>--AND(Measurements!N22&gt;='mean-3Sigma'!N19, Measurements!N22&lt;='mean+3Sigma'!N19)</f>
        <v>1</v>
      </c>
      <c r="O22" s="16">
        <f>--AND(Measurements!O22&gt;='mean-3Sigma'!O19, Measurements!O22&lt;='mean+3Sigma'!O19)</f>
        <v>1</v>
      </c>
      <c r="P22" s="16">
        <f>--AND(Measurements!P22&gt;='mean-3Sigma'!P19, Measurements!P22&lt;='mean+3Sigma'!P19)</f>
        <v>1</v>
      </c>
      <c r="Q22" s="16">
        <f>--AND(Measurements!Q22&gt;='mean-3Sigma'!Q19, Measurements!Q22&lt;='mean+3Sigma'!Q19)</f>
        <v>1</v>
      </c>
      <c r="R22" s="16">
        <f>--AND(Measurements!R22&gt;='mean-3Sigma'!R19, Measurements!R22&lt;='mean+3Sigma'!R19)</f>
        <v>1</v>
      </c>
      <c r="S22" s="16">
        <f>--AND(Measurements!S22&gt;='mean-3Sigma'!S19, Measurements!S22&lt;='mean+3Sigma'!S19)</f>
        <v>1</v>
      </c>
      <c r="T22" s="16">
        <f>--AND(Measurements!T22&gt;='mean-3Sigma'!T19, Measurements!T22&lt;='mean+3Sigma'!T19)</f>
        <v>1</v>
      </c>
      <c r="U22" s="16">
        <f>--AND(Measurements!U22&gt;='mean-3Sigma'!U19, Measurements!U22&lt;='mean+3Sigma'!U19)</f>
        <v>1</v>
      </c>
      <c r="V22" s="16">
        <f>--AND(Measurements!V22&gt;='mean-3Sigma'!V19, Measurements!V22&lt;='mean+3Sigma'!V19)</f>
        <v>1</v>
      </c>
      <c r="W22" s="16">
        <f>--AND(Measurements!W22&gt;='mean-3Sigma'!W19, Measurements!W22&lt;='mean+3Sigma'!W19)</f>
        <v>1</v>
      </c>
      <c r="X22" s="16">
        <f>--AND(Measurements!X22&gt;='mean-3Sigma'!X19, Measurements!X22&lt;='mean+3Sigma'!X19)</f>
        <v>1</v>
      </c>
      <c r="Y22" s="16">
        <f>--AND(Measurements!Y22&gt;='mean-3Sigma'!Y19, Measurements!Y22&lt;='mean+3Sigma'!Y19)</f>
        <v>1</v>
      </c>
      <c r="Z22" s="16">
        <f>--AND(Measurements!Z22&gt;='mean-3Sigma'!Z19, Measurements!Z22&lt;='mean+3Sigma'!Z19)</f>
        <v>1</v>
      </c>
      <c r="AA22" s="16">
        <f>--AND(Measurements!AA22&gt;='mean-3Sigma'!AA19, Measurements!AA22&lt;='mean+3Sigma'!AA19)</f>
        <v>1</v>
      </c>
      <c r="AB22" s="16">
        <f>--AND(Measurements!AB22&gt;='mean-3Sigma'!AB19, Measurements!AB22&lt;='mean+3Sigma'!AB19)</f>
        <v>1</v>
      </c>
      <c r="AC22" s="16">
        <f>--AND(Measurements!AC22&gt;='mean-3Sigma'!AC19, Measurements!AC22&lt;='mean+3Sigma'!AC19)</f>
        <v>1</v>
      </c>
      <c r="AD22" s="16">
        <f>--AND(Measurements!AD22&gt;='mean-3Sigma'!AD19, Measurements!AD22&lt;='mean+3Sigma'!AD19)</f>
        <v>1</v>
      </c>
      <c r="AE22" s="16">
        <f>--AND(Measurements!AE22&gt;='mean-3Sigma'!AE19, Measurements!AE22&lt;='mean+3Sigma'!AE19)</f>
        <v>1</v>
      </c>
      <c r="AF22" s="16">
        <f>--AND(Measurements!AF22&gt;='mean-3Sigma'!AF19, Measurements!AF22&lt;='mean+3Sigma'!AF19)</f>
        <v>1</v>
      </c>
      <c r="AG22" s="16">
        <f>--AND(Measurements!AG22&gt;='mean-3Sigma'!AG19, Measurements!AG22&lt;='mean+3Sigma'!AG19)</f>
        <v>1</v>
      </c>
      <c r="AH22" s="16">
        <f>--AND(Measurements!AH22&gt;='mean-3Sigma'!AH19, Measurements!AH22&lt;='mean+3Sigma'!AH19)</f>
        <v>1</v>
      </c>
      <c r="AI22" s="16">
        <f>--AND(Measurements!AI22&gt;='mean-3Sigma'!AI19, Measurements!AI22&lt;='mean+3Sigma'!AI19)</f>
        <v>1</v>
      </c>
      <c r="AJ22" s="16">
        <f>--AND(Measurements!AJ22&gt;='mean-3Sigma'!AJ19, Measurements!AJ22&lt;='mean+3Sigma'!AJ19)</f>
        <v>1</v>
      </c>
      <c r="AK22" s="16">
        <f>--AND(Measurements!AK22&gt;='mean-3Sigma'!AK19, Measurements!AK22&lt;='mean+3Sigma'!AK19)</f>
        <v>1</v>
      </c>
      <c r="AL22" s="16">
        <f>--AND(Measurements!AL22&gt;='mean-3Sigma'!AL19, Measurements!AL22&lt;='mean+3Sigma'!AL19)</f>
        <v>1</v>
      </c>
      <c r="AM22" s="16">
        <f>--AND(Measurements!AM22&gt;='mean-3Sigma'!AM19, Measurements!AM22&lt;='mean+3Sigma'!AM19)</f>
        <v>1</v>
      </c>
      <c r="AN22" s="16">
        <f>--AND(Measurements!AN22&gt;='mean-3Sigma'!AN19, Measurements!AN22&lt;='mean+3Sigma'!AN19)</f>
        <v>1</v>
      </c>
      <c r="AO22" s="16">
        <f>--AND(Measurements!AO22&gt;='mean-3Sigma'!AO19, Measurements!AO22&lt;='mean+3Sigma'!AO19)</f>
        <v>1</v>
      </c>
      <c r="AP22" s="16">
        <f>--AND(Measurements!AP22&gt;='mean-3Sigma'!AP19, Measurements!AP22&lt;='mean+3Sigma'!AP19)</f>
        <v>1</v>
      </c>
      <c r="AQ22" s="16">
        <f>--AND(Measurements!AQ22&gt;='mean-3Sigma'!AQ19, Measurements!AQ22&lt;='mean+3Sigma'!AQ19)</f>
        <v>1</v>
      </c>
      <c r="AR22" s="16">
        <f>--AND(Measurements!AR22&gt;='mean-3Sigma'!AR19, Measurements!AR22&lt;='mean+3Sigma'!AR19)</f>
        <v>1</v>
      </c>
      <c r="AS22" s="16">
        <f>--AND(Measurements!AS22&gt;='mean-3Sigma'!AS19, Measurements!AS22&lt;='mean+3Sigma'!AS19)</f>
        <v>0</v>
      </c>
      <c r="AT22" s="16">
        <f>--AND(Measurements!AT22&gt;='mean-3Sigma'!AT19, Measurements!AT22&lt;='mean+3Sigma'!AT19)</f>
        <v>1</v>
      </c>
      <c r="AU22" s="16">
        <f>--AND(Measurements!AU22&gt;='mean-3Sigma'!AU19, Measurements!AU22&lt;='mean+3Sigma'!AU19)</f>
        <v>0</v>
      </c>
      <c r="AV22" s="16">
        <f>--AND(Measurements!AV22&gt;='mean-3Sigma'!AV19, Measurements!AV22&lt;='mean+3Sigma'!AV19)</f>
        <v>1</v>
      </c>
      <c r="AW22" s="16">
        <f>--AND(Measurements!AW22&gt;='mean-3Sigma'!AW19, Measurements!AW22&lt;='mean+3Sigma'!AW19)</f>
        <v>1</v>
      </c>
      <c r="AX22" s="16">
        <f>--AND(Measurements!AX22&gt;='mean-3Sigma'!AX19, Measurements!AX22&lt;='mean+3Sigma'!AX19)</f>
        <v>1</v>
      </c>
    </row>
    <row r="23" spans="1:50">
      <c r="A23">
        <v>375</v>
      </c>
      <c r="B23" s="16">
        <f>--AND(Measurements!B23&gt;='mean-3Sigma'!B20, Measurements!B23&lt;='mean+3Sigma'!B20)</f>
        <v>1</v>
      </c>
      <c r="C23" s="16">
        <f>--AND(Measurements!C23&gt;='mean-3Sigma'!C20, Measurements!C23&lt;='mean+3Sigma'!C20)</f>
        <v>1</v>
      </c>
      <c r="D23" s="16">
        <f>--AND(Measurements!D23&gt;='mean-3Sigma'!D20, Measurements!D23&lt;='mean+3Sigma'!D20)</f>
        <v>1</v>
      </c>
      <c r="E23" s="16">
        <f>--AND(Measurements!E23&gt;='mean-3Sigma'!E20, Measurements!E23&lt;='mean+3Sigma'!E20)</f>
        <v>1</v>
      </c>
      <c r="F23" s="16">
        <f>--AND(Measurements!F23&gt;='mean-3Sigma'!F20, Measurements!F23&lt;='mean+3Sigma'!F20)</f>
        <v>1</v>
      </c>
      <c r="G23" s="16">
        <f>--AND(Measurements!G23&gt;='mean-3Sigma'!G20, Measurements!G23&lt;='mean+3Sigma'!G20)</f>
        <v>1</v>
      </c>
      <c r="H23" s="16">
        <f>--AND(Measurements!H23&gt;='mean-3Sigma'!H20, Measurements!H23&lt;='mean+3Sigma'!H20)</f>
        <v>1</v>
      </c>
      <c r="I23" s="16">
        <f>--AND(Measurements!I23&gt;='mean-3Sigma'!I20, Measurements!I23&lt;='mean+3Sigma'!I20)</f>
        <v>1</v>
      </c>
      <c r="J23" s="16">
        <f>--AND(Measurements!J23&gt;='mean-3Sigma'!J20, Measurements!J23&lt;='mean+3Sigma'!J20)</f>
        <v>1</v>
      </c>
      <c r="K23" s="16">
        <f>--AND(Measurements!K23&gt;='mean-3Sigma'!K20, Measurements!K23&lt;='mean+3Sigma'!K20)</f>
        <v>1</v>
      </c>
      <c r="L23" s="16">
        <f>--AND(Measurements!L23&gt;='mean-3Sigma'!L20, Measurements!L23&lt;='mean+3Sigma'!L20)</f>
        <v>1</v>
      </c>
      <c r="M23" s="16">
        <f>--AND(Measurements!M23&gt;='mean-3Sigma'!M20, Measurements!M23&lt;='mean+3Sigma'!M20)</f>
        <v>1</v>
      </c>
      <c r="N23" s="16">
        <f>--AND(Measurements!N23&gt;='mean-3Sigma'!N20, Measurements!N23&lt;='mean+3Sigma'!N20)</f>
        <v>1</v>
      </c>
      <c r="O23" s="16">
        <f>--AND(Measurements!O23&gt;='mean-3Sigma'!O20, Measurements!O23&lt;='mean+3Sigma'!O20)</f>
        <v>1</v>
      </c>
      <c r="P23" s="16">
        <f>--AND(Measurements!P23&gt;='mean-3Sigma'!P20, Measurements!P23&lt;='mean+3Sigma'!P20)</f>
        <v>1</v>
      </c>
      <c r="Q23" s="16">
        <f>--AND(Measurements!Q23&gt;='mean-3Sigma'!Q20, Measurements!Q23&lt;='mean+3Sigma'!Q20)</f>
        <v>1</v>
      </c>
      <c r="R23" s="16">
        <f>--AND(Measurements!R23&gt;='mean-3Sigma'!R20, Measurements!R23&lt;='mean+3Sigma'!R20)</f>
        <v>1</v>
      </c>
      <c r="S23" s="16">
        <f>--AND(Measurements!S23&gt;='mean-3Sigma'!S20, Measurements!S23&lt;='mean+3Sigma'!S20)</f>
        <v>1</v>
      </c>
      <c r="T23" s="16">
        <f>--AND(Measurements!T23&gt;='mean-3Sigma'!T20, Measurements!T23&lt;='mean+3Sigma'!T20)</f>
        <v>1</v>
      </c>
      <c r="U23" s="16">
        <f>--AND(Measurements!U23&gt;='mean-3Sigma'!U20, Measurements!U23&lt;='mean+3Sigma'!U20)</f>
        <v>1</v>
      </c>
      <c r="V23" s="16">
        <f>--AND(Measurements!V23&gt;='mean-3Sigma'!V20, Measurements!V23&lt;='mean+3Sigma'!V20)</f>
        <v>1</v>
      </c>
      <c r="W23" s="16">
        <f>--AND(Measurements!W23&gt;='mean-3Sigma'!W20, Measurements!W23&lt;='mean+3Sigma'!W20)</f>
        <v>1</v>
      </c>
      <c r="X23" s="16">
        <f>--AND(Measurements!X23&gt;='mean-3Sigma'!X20, Measurements!X23&lt;='mean+3Sigma'!X20)</f>
        <v>1</v>
      </c>
      <c r="Y23" s="16">
        <f>--AND(Measurements!Y23&gt;='mean-3Sigma'!Y20, Measurements!Y23&lt;='mean+3Sigma'!Y20)</f>
        <v>1</v>
      </c>
      <c r="Z23" s="16">
        <f>--AND(Measurements!Z23&gt;='mean-3Sigma'!Z20, Measurements!Z23&lt;='mean+3Sigma'!Z20)</f>
        <v>1</v>
      </c>
      <c r="AA23" s="16">
        <f>--AND(Measurements!AA23&gt;='mean-3Sigma'!AA20, Measurements!AA23&lt;='mean+3Sigma'!AA20)</f>
        <v>1</v>
      </c>
      <c r="AB23" s="16">
        <f>--AND(Measurements!AB23&gt;='mean-3Sigma'!AB20, Measurements!AB23&lt;='mean+3Sigma'!AB20)</f>
        <v>1</v>
      </c>
      <c r="AC23" s="16">
        <f>--AND(Measurements!AC23&gt;='mean-3Sigma'!AC20, Measurements!AC23&lt;='mean+3Sigma'!AC20)</f>
        <v>1</v>
      </c>
      <c r="AD23" s="16">
        <f>--AND(Measurements!AD23&gt;='mean-3Sigma'!AD20, Measurements!AD23&lt;='mean+3Sigma'!AD20)</f>
        <v>1</v>
      </c>
      <c r="AE23" s="16">
        <f>--AND(Measurements!AE23&gt;='mean-3Sigma'!AE20, Measurements!AE23&lt;='mean+3Sigma'!AE20)</f>
        <v>1</v>
      </c>
      <c r="AF23" s="16">
        <f>--AND(Measurements!AF23&gt;='mean-3Sigma'!AF20, Measurements!AF23&lt;='mean+3Sigma'!AF20)</f>
        <v>1</v>
      </c>
      <c r="AG23" s="16">
        <f>--AND(Measurements!AG23&gt;='mean-3Sigma'!AG20, Measurements!AG23&lt;='mean+3Sigma'!AG20)</f>
        <v>1</v>
      </c>
      <c r="AH23" s="16">
        <f>--AND(Measurements!AH23&gt;='mean-3Sigma'!AH20, Measurements!AH23&lt;='mean+3Sigma'!AH20)</f>
        <v>1</v>
      </c>
      <c r="AI23" s="16">
        <f>--AND(Measurements!AI23&gt;='mean-3Sigma'!AI20, Measurements!AI23&lt;='mean+3Sigma'!AI20)</f>
        <v>1</v>
      </c>
      <c r="AJ23" s="16">
        <f>--AND(Measurements!AJ23&gt;='mean-3Sigma'!AJ20, Measurements!AJ23&lt;='mean+3Sigma'!AJ20)</f>
        <v>1</v>
      </c>
      <c r="AK23" s="16">
        <f>--AND(Measurements!AK23&gt;='mean-3Sigma'!AK20, Measurements!AK23&lt;='mean+3Sigma'!AK20)</f>
        <v>1</v>
      </c>
      <c r="AL23" s="16">
        <f>--AND(Measurements!AL23&gt;='mean-3Sigma'!AL20, Measurements!AL23&lt;='mean+3Sigma'!AL20)</f>
        <v>1</v>
      </c>
      <c r="AM23" s="16">
        <f>--AND(Measurements!AM23&gt;='mean-3Sigma'!AM20, Measurements!AM23&lt;='mean+3Sigma'!AM20)</f>
        <v>1</v>
      </c>
      <c r="AN23" s="16">
        <f>--AND(Measurements!AN23&gt;='mean-3Sigma'!AN20, Measurements!AN23&lt;='mean+3Sigma'!AN20)</f>
        <v>1</v>
      </c>
      <c r="AO23" s="16">
        <f>--AND(Measurements!AO23&gt;='mean-3Sigma'!AO20, Measurements!AO23&lt;='mean+3Sigma'!AO20)</f>
        <v>1</v>
      </c>
      <c r="AP23" s="16">
        <f>--AND(Measurements!AP23&gt;='mean-3Sigma'!AP20, Measurements!AP23&lt;='mean+3Sigma'!AP20)</f>
        <v>1</v>
      </c>
      <c r="AQ23" s="16">
        <f>--AND(Measurements!AQ23&gt;='mean-3Sigma'!AQ20, Measurements!AQ23&lt;='mean+3Sigma'!AQ20)</f>
        <v>1</v>
      </c>
      <c r="AR23" s="16">
        <f>--AND(Measurements!AR23&gt;='mean-3Sigma'!AR20, Measurements!AR23&lt;='mean+3Sigma'!AR20)</f>
        <v>1</v>
      </c>
      <c r="AS23" s="16">
        <f>--AND(Measurements!AS23&gt;='mean-3Sigma'!AS20, Measurements!AS23&lt;='mean+3Sigma'!AS20)</f>
        <v>0</v>
      </c>
      <c r="AT23" s="16">
        <f>--AND(Measurements!AT23&gt;='mean-3Sigma'!AT20, Measurements!AT23&lt;='mean+3Sigma'!AT20)</f>
        <v>1</v>
      </c>
      <c r="AU23" s="16">
        <f>--AND(Measurements!AU23&gt;='mean-3Sigma'!AU20, Measurements!AU23&lt;='mean+3Sigma'!AU20)</f>
        <v>0</v>
      </c>
      <c r="AV23" s="16">
        <f>--AND(Measurements!AV23&gt;='mean-3Sigma'!AV20, Measurements!AV23&lt;='mean+3Sigma'!AV20)</f>
        <v>1</v>
      </c>
      <c r="AW23" s="16">
        <f>--AND(Measurements!AW23&gt;='mean-3Sigma'!AW20, Measurements!AW23&lt;='mean+3Sigma'!AW20)</f>
        <v>1</v>
      </c>
      <c r="AX23" s="16">
        <f>--AND(Measurements!AX23&gt;='mean-3Sigma'!AX20, Measurements!AX23&lt;='mean+3Sigma'!AX20)</f>
        <v>1</v>
      </c>
    </row>
    <row r="24" spans="1:50">
      <c r="A24">
        <v>435</v>
      </c>
      <c r="B24" s="16">
        <f>--AND(Measurements!B24&gt;='mean-3Sigma'!B21, Measurements!B24&lt;='mean+3Sigma'!B21)</f>
        <v>1</v>
      </c>
      <c r="C24" s="16">
        <f>--AND(Measurements!C24&gt;='mean-3Sigma'!C21, Measurements!C24&lt;='mean+3Sigma'!C21)</f>
        <v>1</v>
      </c>
      <c r="D24" s="16">
        <f>--AND(Measurements!D24&gt;='mean-3Sigma'!D21, Measurements!D24&lt;='mean+3Sigma'!D21)</f>
        <v>1</v>
      </c>
      <c r="E24" s="16">
        <f>--AND(Measurements!E24&gt;='mean-3Sigma'!E21, Measurements!E24&lt;='mean+3Sigma'!E21)</f>
        <v>1</v>
      </c>
      <c r="F24" s="16">
        <f>--AND(Measurements!F24&gt;='mean-3Sigma'!F21, Measurements!F24&lt;='mean+3Sigma'!F21)</f>
        <v>1</v>
      </c>
      <c r="G24" s="16">
        <f>--AND(Measurements!G24&gt;='mean-3Sigma'!G21, Measurements!G24&lt;='mean+3Sigma'!G21)</f>
        <v>1</v>
      </c>
      <c r="H24" s="16">
        <f>--AND(Measurements!H24&gt;='mean-3Sigma'!H21, Measurements!H24&lt;='mean+3Sigma'!H21)</f>
        <v>1</v>
      </c>
      <c r="I24" s="16">
        <f>--AND(Measurements!I24&gt;='mean-3Sigma'!I21, Measurements!I24&lt;='mean+3Sigma'!I21)</f>
        <v>1</v>
      </c>
      <c r="J24" s="16">
        <f>--AND(Measurements!J24&gt;='mean-3Sigma'!J21, Measurements!J24&lt;='mean+3Sigma'!J21)</f>
        <v>1</v>
      </c>
      <c r="K24" s="16">
        <f>--AND(Measurements!K24&gt;='mean-3Sigma'!K21, Measurements!K24&lt;='mean+3Sigma'!K21)</f>
        <v>1</v>
      </c>
      <c r="L24" s="16">
        <f>--AND(Measurements!L24&gt;='mean-3Sigma'!L21, Measurements!L24&lt;='mean+3Sigma'!L21)</f>
        <v>1</v>
      </c>
      <c r="M24" s="16">
        <f>--AND(Measurements!M24&gt;='mean-3Sigma'!M21, Measurements!M24&lt;='mean+3Sigma'!M21)</f>
        <v>1</v>
      </c>
      <c r="N24" s="16">
        <f>--AND(Measurements!N24&gt;='mean-3Sigma'!N21, Measurements!N24&lt;='mean+3Sigma'!N21)</f>
        <v>1</v>
      </c>
      <c r="O24" s="16">
        <f>--AND(Measurements!O24&gt;='mean-3Sigma'!O21, Measurements!O24&lt;='mean+3Sigma'!O21)</f>
        <v>1</v>
      </c>
      <c r="P24" s="16">
        <f>--AND(Measurements!P24&gt;='mean-3Sigma'!P21, Measurements!P24&lt;='mean+3Sigma'!P21)</f>
        <v>1</v>
      </c>
      <c r="Q24" s="16">
        <f>--AND(Measurements!Q24&gt;='mean-3Sigma'!Q21, Measurements!Q24&lt;='mean+3Sigma'!Q21)</f>
        <v>1</v>
      </c>
      <c r="R24" s="16">
        <f>--AND(Measurements!R24&gt;='mean-3Sigma'!R21, Measurements!R24&lt;='mean+3Sigma'!R21)</f>
        <v>1</v>
      </c>
      <c r="S24" s="16">
        <f>--AND(Measurements!S24&gt;='mean-3Sigma'!S21, Measurements!S24&lt;='mean+3Sigma'!S21)</f>
        <v>1</v>
      </c>
      <c r="T24" s="16">
        <f>--AND(Measurements!T24&gt;='mean-3Sigma'!T21, Measurements!T24&lt;='mean+3Sigma'!T21)</f>
        <v>1</v>
      </c>
      <c r="U24" s="16">
        <f>--AND(Measurements!U24&gt;='mean-3Sigma'!U21, Measurements!U24&lt;='mean+3Sigma'!U21)</f>
        <v>1</v>
      </c>
      <c r="V24" s="16">
        <f>--AND(Measurements!V24&gt;='mean-3Sigma'!V21, Measurements!V24&lt;='mean+3Sigma'!V21)</f>
        <v>1</v>
      </c>
      <c r="W24" s="16">
        <f>--AND(Measurements!W24&gt;='mean-3Sigma'!W21, Measurements!W24&lt;='mean+3Sigma'!W21)</f>
        <v>1</v>
      </c>
      <c r="X24" s="16">
        <f>--AND(Measurements!X24&gt;='mean-3Sigma'!X21, Measurements!X24&lt;='mean+3Sigma'!X21)</f>
        <v>1</v>
      </c>
      <c r="Y24" s="16">
        <f>--AND(Measurements!Y24&gt;='mean-3Sigma'!Y21, Measurements!Y24&lt;='mean+3Sigma'!Y21)</f>
        <v>1</v>
      </c>
      <c r="Z24" s="16">
        <f>--AND(Measurements!Z24&gt;='mean-3Sigma'!Z21, Measurements!Z24&lt;='mean+3Sigma'!Z21)</f>
        <v>1</v>
      </c>
      <c r="AA24" s="16">
        <f>--AND(Measurements!AA24&gt;='mean-3Sigma'!AA21, Measurements!AA24&lt;='mean+3Sigma'!AA21)</f>
        <v>1</v>
      </c>
      <c r="AB24" s="16">
        <f>--AND(Measurements!AB24&gt;='mean-3Sigma'!AB21, Measurements!AB24&lt;='mean+3Sigma'!AB21)</f>
        <v>1</v>
      </c>
      <c r="AC24" s="16">
        <f>--AND(Measurements!AC24&gt;='mean-3Sigma'!AC21, Measurements!AC24&lt;='mean+3Sigma'!AC21)</f>
        <v>1</v>
      </c>
      <c r="AD24" s="16">
        <f>--AND(Measurements!AD24&gt;='mean-3Sigma'!AD21, Measurements!AD24&lt;='mean+3Sigma'!AD21)</f>
        <v>1</v>
      </c>
      <c r="AE24" s="16">
        <f>--AND(Measurements!AE24&gt;='mean-3Sigma'!AE21, Measurements!AE24&lt;='mean+3Sigma'!AE21)</f>
        <v>1</v>
      </c>
      <c r="AF24" s="16">
        <f>--AND(Measurements!AF24&gt;='mean-3Sigma'!AF21, Measurements!AF24&lt;='mean+3Sigma'!AF21)</f>
        <v>1</v>
      </c>
      <c r="AG24" s="16">
        <f>--AND(Measurements!AG24&gt;='mean-3Sigma'!AG21, Measurements!AG24&lt;='mean+3Sigma'!AG21)</f>
        <v>1</v>
      </c>
      <c r="AH24" s="16">
        <f>--AND(Measurements!AH24&gt;='mean-3Sigma'!AH21, Measurements!AH24&lt;='mean+3Sigma'!AH21)</f>
        <v>1</v>
      </c>
      <c r="AI24" s="16">
        <f>--AND(Measurements!AI24&gt;='mean-3Sigma'!AI21, Measurements!AI24&lt;='mean+3Sigma'!AI21)</f>
        <v>1</v>
      </c>
      <c r="AJ24" s="16">
        <f>--AND(Measurements!AJ24&gt;='mean-3Sigma'!AJ21, Measurements!AJ24&lt;='mean+3Sigma'!AJ21)</f>
        <v>1</v>
      </c>
      <c r="AK24" s="16">
        <f>--AND(Measurements!AK24&gt;='mean-3Sigma'!AK21, Measurements!AK24&lt;='mean+3Sigma'!AK21)</f>
        <v>1</v>
      </c>
      <c r="AL24" s="16">
        <f>--AND(Measurements!AL24&gt;='mean-3Sigma'!AL21, Measurements!AL24&lt;='mean+3Sigma'!AL21)</f>
        <v>1</v>
      </c>
      <c r="AM24" s="16">
        <f>--AND(Measurements!AM24&gt;='mean-3Sigma'!AM21, Measurements!AM24&lt;='mean+3Sigma'!AM21)</f>
        <v>1</v>
      </c>
      <c r="AN24" s="16">
        <f>--AND(Measurements!AN24&gt;='mean-3Sigma'!AN21, Measurements!AN24&lt;='mean+3Sigma'!AN21)</f>
        <v>1</v>
      </c>
      <c r="AO24" s="16">
        <f>--AND(Measurements!AO24&gt;='mean-3Sigma'!AO21, Measurements!AO24&lt;='mean+3Sigma'!AO21)</f>
        <v>1</v>
      </c>
      <c r="AP24" s="16">
        <f>--AND(Measurements!AP24&gt;='mean-3Sigma'!AP21, Measurements!AP24&lt;='mean+3Sigma'!AP21)</f>
        <v>1</v>
      </c>
      <c r="AQ24" s="16">
        <f>--AND(Measurements!AQ24&gt;='mean-3Sigma'!AQ21, Measurements!AQ24&lt;='mean+3Sigma'!AQ21)</f>
        <v>1</v>
      </c>
      <c r="AR24" s="16">
        <f>--AND(Measurements!AR24&gt;='mean-3Sigma'!AR21, Measurements!AR24&lt;='mean+3Sigma'!AR21)</f>
        <v>1</v>
      </c>
      <c r="AS24" s="16">
        <f>--AND(Measurements!AS24&gt;='mean-3Sigma'!AS21, Measurements!AS24&lt;='mean+3Sigma'!AS21)</f>
        <v>0</v>
      </c>
      <c r="AT24" s="16">
        <f>--AND(Measurements!AT24&gt;='mean-3Sigma'!AT21, Measurements!AT24&lt;='mean+3Sigma'!AT21)</f>
        <v>1</v>
      </c>
      <c r="AU24" s="16">
        <f>--AND(Measurements!AU24&gt;='mean-3Sigma'!AU21, Measurements!AU24&lt;='mean+3Sigma'!AU21)</f>
        <v>0</v>
      </c>
      <c r="AV24" s="16">
        <f>--AND(Measurements!AV24&gt;='mean-3Sigma'!AV21, Measurements!AV24&lt;='mean+3Sigma'!AV21)</f>
        <v>1</v>
      </c>
      <c r="AW24" s="16">
        <f>--AND(Measurements!AW24&gt;='mean-3Sigma'!AW21, Measurements!AW24&lt;='mean+3Sigma'!AW21)</f>
        <v>1</v>
      </c>
      <c r="AX24" s="16">
        <f>--AND(Measurements!AX24&gt;='mean-3Sigma'!AX21, Measurements!AX24&lt;='mean+3Sigma'!AX21)</f>
        <v>1</v>
      </c>
    </row>
    <row r="25" spans="1:50">
      <c r="A25">
        <v>435</v>
      </c>
      <c r="B25" s="16">
        <f>--AND(Measurements!B25&gt;='mean-3Sigma'!B22, Measurements!B25&lt;='mean+3Sigma'!B22)</f>
        <v>1</v>
      </c>
      <c r="C25" s="16">
        <f>--AND(Measurements!C25&gt;='mean-3Sigma'!C22, Measurements!C25&lt;='mean+3Sigma'!C22)</f>
        <v>1</v>
      </c>
      <c r="D25" s="16">
        <f>--AND(Measurements!D25&gt;='mean-3Sigma'!D22, Measurements!D25&lt;='mean+3Sigma'!D22)</f>
        <v>1</v>
      </c>
      <c r="E25" s="16">
        <f>--AND(Measurements!E25&gt;='mean-3Sigma'!E22, Measurements!E25&lt;='mean+3Sigma'!E22)</f>
        <v>1</v>
      </c>
      <c r="F25" s="16">
        <f>--AND(Measurements!F25&gt;='mean-3Sigma'!F22, Measurements!F25&lt;='mean+3Sigma'!F22)</f>
        <v>1</v>
      </c>
      <c r="G25" s="16">
        <f>--AND(Measurements!G25&gt;='mean-3Sigma'!G22, Measurements!G25&lt;='mean+3Sigma'!G22)</f>
        <v>1</v>
      </c>
      <c r="H25" s="16">
        <f>--AND(Measurements!H25&gt;='mean-3Sigma'!H22, Measurements!H25&lt;='mean+3Sigma'!H22)</f>
        <v>1</v>
      </c>
      <c r="I25" s="16">
        <f>--AND(Measurements!I25&gt;='mean-3Sigma'!I22, Measurements!I25&lt;='mean+3Sigma'!I22)</f>
        <v>1</v>
      </c>
      <c r="J25" s="16">
        <f>--AND(Measurements!J25&gt;='mean-3Sigma'!J22, Measurements!J25&lt;='mean+3Sigma'!J22)</f>
        <v>1</v>
      </c>
      <c r="K25" s="16">
        <f>--AND(Measurements!K25&gt;='mean-3Sigma'!K22, Measurements!K25&lt;='mean+3Sigma'!K22)</f>
        <v>1</v>
      </c>
      <c r="L25" s="16">
        <f>--AND(Measurements!L25&gt;='mean-3Sigma'!L22, Measurements!L25&lt;='mean+3Sigma'!L22)</f>
        <v>1</v>
      </c>
      <c r="M25" s="16">
        <f>--AND(Measurements!M25&gt;='mean-3Sigma'!M22, Measurements!M25&lt;='mean+3Sigma'!M22)</f>
        <v>1</v>
      </c>
      <c r="N25" s="16">
        <f>--AND(Measurements!N25&gt;='mean-3Sigma'!N22, Measurements!N25&lt;='mean+3Sigma'!N22)</f>
        <v>1</v>
      </c>
      <c r="O25" s="16">
        <f>--AND(Measurements!O25&gt;='mean-3Sigma'!O22, Measurements!O25&lt;='mean+3Sigma'!O22)</f>
        <v>1</v>
      </c>
      <c r="P25" s="16">
        <f>--AND(Measurements!P25&gt;='mean-3Sigma'!P22, Measurements!P25&lt;='mean+3Sigma'!P22)</f>
        <v>1</v>
      </c>
      <c r="Q25" s="16">
        <f>--AND(Measurements!Q25&gt;='mean-3Sigma'!Q22, Measurements!Q25&lt;='mean+3Sigma'!Q22)</f>
        <v>1</v>
      </c>
      <c r="R25" s="16">
        <f>--AND(Measurements!R25&gt;='mean-3Sigma'!R22, Measurements!R25&lt;='mean+3Sigma'!R22)</f>
        <v>1</v>
      </c>
      <c r="S25" s="16">
        <f>--AND(Measurements!S25&gt;='mean-3Sigma'!S22, Measurements!S25&lt;='mean+3Sigma'!S22)</f>
        <v>1</v>
      </c>
      <c r="T25" s="16">
        <f>--AND(Measurements!T25&gt;='mean-3Sigma'!T22, Measurements!T25&lt;='mean+3Sigma'!T22)</f>
        <v>1</v>
      </c>
      <c r="U25" s="16">
        <f>--AND(Measurements!U25&gt;='mean-3Sigma'!U22, Measurements!U25&lt;='mean+3Sigma'!U22)</f>
        <v>1</v>
      </c>
      <c r="V25" s="16">
        <f>--AND(Measurements!V25&gt;='mean-3Sigma'!V22, Measurements!V25&lt;='mean+3Sigma'!V22)</f>
        <v>1</v>
      </c>
      <c r="W25" s="16">
        <f>--AND(Measurements!W25&gt;='mean-3Sigma'!W22, Measurements!W25&lt;='mean+3Sigma'!W22)</f>
        <v>1</v>
      </c>
      <c r="X25" s="16">
        <f>--AND(Measurements!X25&gt;='mean-3Sigma'!X22, Measurements!X25&lt;='mean+3Sigma'!X22)</f>
        <v>1</v>
      </c>
      <c r="Y25" s="16">
        <f>--AND(Measurements!Y25&gt;='mean-3Sigma'!Y22, Measurements!Y25&lt;='mean+3Sigma'!Y22)</f>
        <v>1</v>
      </c>
      <c r="Z25" s="16">
        <f>--AND(Measurements!Z25&gt;='mean-3Sigma'!Z22, Measurements!Z25&lt;='mean+3Sigma'!Z22)</f>
        <v>1</v>
      </c>
      <c r="AA25" s="16">
        <f>--AND(Measurements!AA25&gt;='mean-3Sigma'!AA22, Measurements!AA25&lt;='mean+3Sigma'!AA22)</f>
        <v>1</v>
      </c>
      <c r="AB25" s="16">
        <f>--AND(Measurements!AB25&gt;='mean-3Sigma'!AB22, Measurements!AB25&lt;='mean+3Sigma'!AB22)</f>
        <v>1</v>
      </c>
      <c r="AC25" s="16">
        <f>--AND(Measurements!AC25&gt;='mean-3Sigma'!AC22, Measurements!AC25&lt;='mean+3Sigma'!AC22)</f>
        <v>1</v>
      </c>
      <c r="AD25" s="16">
        <f>--AND(Measurements!AD25&gt;='mean-3Sigma'!AD22, Measurements!AD25&lt;='mean+3Sigma'!AD22)</f>
        <v>1</v>
      </c>
      <c r="AE25" s="16">
        <f>--AND(Measurements!AE25&gt;='mean-3Sigma'!AE22, Measurements!AE25&lt;='mean+3Sigma'!AE22)</f>
        <v>1</v>
      </c>
      <c r="AF25" s="16">
        <f>--AND(Measurements!AF25&gt;='mean-3Sigma'!AF22, Measurements!AF25&lt;='mean+3Sigma'!AF22)</f>
        <v>1</v>
      </c>
      <c r="AG25" s="16">
        <f>--AND(Measurements!AG25&gt;='mean-3Sigma'!AG22, Measurements!AG25&lt;='mean+3Sigma'!AG22)</f>
        <v>1</v>
      </c>
      <c r="AH25" s="16">
        <f>--AND(Measurements!AH25&gt;='mean-3Sigma'!AH22, Measurements!AH25&lt;='mean+3Sigma'!AH22)</f>
        <v>1</v>
      </c>
      <c r="AI25" s="16">
        <f>--AND(Measurements!AI25&gt;='mean-3Sigma'!AI22, Measurements!AI25&lt;='mean+3Sigma'!AI22)</f>
        <v>1</v>
      </c>
      <c r="AJ25" s="16">
        <f>--AND(Measurements!AJ25&gt;='mean-3Sigma'!AJ22, Measurements!AJ25&lt;='mean+3Sigma'!AJ22)</f>
        <v>1</v>
      </c>
      <c r="AK25" s="16">
        <f>--AND(Measurements!AK25&gt;='mean-3Sigma'!AK22, Measurements!AK25&lt;='mean+3Sigma'!AK22)</f>
        <v>1</v>
      </c>
      <c r="AL25" s="16">
        <f>--AND(Measurements!AL25&gt;='mean-3Sigma'!AL22, Measurements!AL25&lt;='mean+3Sigma'!AL22)</f>
        <v>1</v>
      </c>
      <c r="AM25" s="16">
        <f>--AND(Measurements!AM25&gt;='mean-3Sigma'!AM22, Measurements!AM25&lt;='mean+3Sigma'!AM22)</f>
        <v>1</v>
      </c>
      <c r="AN25" s="16">
        <f>--AND(Measurements!AN25&gt;='mean-3Sigma'!AN22, Measurements!AN25&lt;='mean+3Sigma'!AN22)</f>
        <v>1</v>
      </c>
      <c r="AO25" s="16">
        <f>--AND(Measurements!AO25&gt;='mean-3Sigma'!AO22, Measurements!AO25&lt;='mean+3Sigma'!AO22)</f>
        <v>1</v>
      </c>
      <c r="AP25" s="16">
        <f>--AND(Measurements!AP25&gt;='mean-3Sigma'!AP22, Measurements!AP25&lt;='mean+3Sigma'!AP22)</f>
        <v>1</v>
      </c>
      <c r="AQ25" s="16">
        <f>--AND(Measurements!AQ25&gt;='mean-3Sigma'!AQ22, Measurements!AQ25&lt;='mean+3Sigma'!AQ22)</f>
        <v>1</v>
      </c>
      <c r="AR25" s="16">
        <f>--AND(Measurements!AR25&gt;='mean-3Sigma'!AR22, Measurements!AR25&lt;='mean+3Sigma'!AR22)</f>
        <v>1</v>
      </c>
      <c r="AS25" s="16">
        <f>--AND(Measurements!AS25&gt;='mean-3Sigma'!AS22, Measurements!AS25&lt;='mean+3Sigma'!AS22)</f>
        <v>0</v>
      </c>
      <c r="AT25" s="16">
        <f>--AND(Measurements!AT25&gt;='mean-3Sigma'!AT22, Measurements!AT25&lt;='mean+3Sigma'!AT22)</f>
        <v>1</v>
      </c>
      <c r="AU25" s="16">
        <f>--AND(Measurements!AU25&gt;='mean-3Sigma'!AU22, Measurements!AU25&lt;='mean+3Sigma'!AU22)</f>
        <v>0</v>
      </c>
      <c r="AV25" s="16">
        <f>--AND(Measurements!AV25&gt;='mean-3Sigma'!AV22, Measurements!AV25&lt;='mean+3Sigma'!AV22)</f>
        <v>1</v>
      </c>
      <c r="AW25" s="16">
        <f>--AND(Measurements!AW25&gt;='mean-3Sigma'!AW22, Measurements!AW25&lt;='mean+3Sigma'!AW22)</f>
        <v>1</v>
      </c>
      <c r="AX25" s="16">
        <f>--AND(Measurements!AX25&gt;='mean-3Sigma'!AX22, Measurements!AX25&lt;='mean+3Sigma'!AX22)</f>
        <v>1</v>
      </c>
    </row>
    <row r="26" spans="1:50">
      <c r="A26">
        <v>435</v>
      </c>
      <c r="B26" s="16">
        <f>--AND(Measurements!B26&gt;='mean-3Sigma'!B23, Measurements!B26&lt;='mean+3Sigma'!B23)</f>
        <v>1</v>
      </c>
      <c r="C26" s="16">
        <f>--AND(Measurements!C26&gt;='mean-3Sigma'!C23, Measurements!C26&lt;='mean+3Sigma'!C23)</f>
        <v>1</v>
      </c>
      <c r="D26" s="16">
        <f>--AND(Measurements!D26&gt;='mean-3Sigma'!D23, Measurements!D26&lt;='mean+3Sigma'!D23)</f>
        <v>1</v>
      </c>
      <c r="E26" s="16">
        <f>--AND(Measurements!E26&gt;='mean-3Sigma'!E23, Measurements!E26&lt;='mean+3Sigma'!E23)</f>
        <v>1</v>
      </c>
      <c r="F26" s="16">
        <f>--AND(Measurements!F26&gt;='mean-3Sigma'!F23, Measurements!F26&lt;='mean+3Sigma'!F23)</f>
        <v>1</v>
      </c>
      <c r="G26" s="16">
        <f>--AND(Measurements!G26&gt;='mean-3Sigma'!G23, Measurements!G26&lt;='mean+3Sigma'!G23)</f>
        <v>1</v>
      </c>
      <c r="H26" s="16">
        <f>--AND(Measurements!H26&gt;='mean-3Sigma'!H23, Measurements!H26&lt;='mean+3Sigma'!H23)</f>
        <v>1</v>
      </c>
      <c r="I26" s="16">
        <f>--AND(Measurements!I26&gt;='mean-3Sigma'!I23, Measurements!I26&lt;='mean+3Sigma'!I23)</f>
        <v>1</v>
      </c>
      <c r="J26" s="16">
        <f>--AND(Measurements!J26&gt;='mean-3Sigma'!J23, Measurements!J26&lt;='mean+3Sigma'!J23)</f>
        <v>1</v>
      </c>
      <c r="K26" s="16">
        <f>--AND(Measurements!K26&gt;='mean-3Sigma'!K23, Measurements!K26&lt;='mean+3Sigma'!K23)</f>
        <v>1</v>
      </c>
      <c r="L26" s="16">
        <f>--AND(Measurements!L26&gt;='mean-3Sigma'!L23, Measurements!L26&lt;='mean+3Sigma'!L23)</f>
        <v>1</v>
      </c>
      <c r="M26" s="16">
        <f>--AND(Measurements!M26&gt;='mean-3Sigma'!M23, Measurements!M26&lt;='mean+3Sigma'!M23)</f>
        <v>1</v>
      </c>
      <c r="N26" s="16">
        <f>--AND(Measurements!N26&gt;='mean-3Sigma'!N23, Measurements!N26&lt;='mean+3Sigma'!N23)</f>
        <v>1</v>
      </c>
      <c r="O26" s="16">
        <f>--AND(Measurements!O26&gt;='mean-3Sigma'!O23, Measurements!O26&lt;='mean+3Sigma'!O23)</f>
        <v>1</v>
      </c>
      <c r="P26" s="16">
        <f>--AND(Measurements!P26&gt;='mean-3Sigma'!P23, Measurements!P26&lt;='mean+3Sigma'!P23)</f>
        <v>1</v>
      </c>
      <c r="Q26" s="16">
        <f>--AND(Measurements!Q26&gt;='mean-3Sigma'!Q23, Measurements!Q26&lt;='mean+3Sigma'!Q23)</f>
        <v>1</v>
      </c>
      <c r="R26" s="16">
        <f>--AND(Measurements!R26&gt;='mean-3Sigma'!R23, Measurements!R26&lt;='mean+3Sigma'!R23)</f>
        <v>1</v>
      </c>
      <c r="S26" s="16">
        <f>--AND(Measurements!S26&gt;='mean-3Sigma'!S23, Measurements!S26&lt;='mean+3Sigma'!S23)</f>
        <v>1</v>
      </c>
      <c r="T26" s="16">
        <f>--AND(Measurements!T26&gt;='mean-3Sigma'!T23, Measurements!T26&lt;='mean+3Sigma'!T23)</f>
        <v>1</v>
      </c>
      <c r="U26" s="16">
        <f>--AND(Measurements!U26&gt;='mean-3Sigma'!U23, Measurements!U26&lt;='mean+3Sigma'!U23)</f>
        <v>1</v>
      </c>
      <c r="V26" s="16">
        <f>--AND(Measurements!V26&gt;='mean-3Sigma'!V23, Measurements!V26&lt;='mean+3Sigma'!V23)</f>
        <v>1</v>
      </c>
      <c r="W26" s="16">
        <f>--AND(Measurements!W26&gt;='mean-3Sigma'!W23, Measurements!W26&lt;='mean+3Sigma'!W23)</f>
        <v>1</v>
      </c>
      <c r="X26" s="16">
        <f>--AND(Measurements!X26&gt;='mean-3Sigma'!X23, Measurements!X26&lt;='mean+3Sigma'!X23)</f>
        <v>1</v>
      </c>
      <c r="Y26" s="16">
        <f>--AND(Measurements!Y26&gt;='mean-3Sigma'!Y23, Measurements!Y26&lt;='mean+3Sigma'!Y23)</f>
        <v>1</v>
      </c>
      <c r="Z26" s="16">
        <f>--AND(Measurements!Z26&gt;='mean-3Sigma'!Z23, Measurements!Z26&lt;='mean+3Sigma'!Z23)</f>
        <v>1</v>
      </c>
      <c r="AA26" s="16">
        <f>--AND(Measurements!AA26&gt;='mean-3Sigma'!AA23, Measurements!AA26&lt;='mean+3Sigma'!AA23)</f>
        <v>1</v>
      </c>
      <c r="AB26" s="16">
        <f>--AND(Measurements!AB26&gt;='mean-3Sigma'!AB23, Measurements!AB26&lt;='mean+3Sigma'!AB23)</f>
        <v>1</v>
      </c>
      <c r="AC26" s="16">
        <f>--AND(Measurements!AC26&gt;='mean-3Sigma'!AC23, Measurements!AC26&lt;='mean+3Sigma'!AC23)</f>
        <v>1</v>
      </c>
      <c r="AD26" s="16">
        <f>--AND(Measurements!AD26&gt;='mean-3Sigma'!AD23, Measurements!AD26&lt;='mean+3Sigma'!AD23)</f>
        <v>1</v>
      </c>
      <c r="AE26" s="16">
        <f>--AND(Measurements!AE26&gt;='mean-3Sigma'!AE23, Measurements!AE26&lt;='mean+3Sigma'!AE23)</f>
        <v>1</v>
      </c>
      <c r="AF26" s="16">
        <f>--AND(Measurements!AF26&gt;='mean-3Sigma'!AF23, Measurements!AF26&lt;='mean+3Sigma'!AF23)</f>
        <v>1</v>
      </c>
      <c r="AG26" s="16">
        <f>--AND(Measurements!AG26&gt;='mean-3Sigma'!AG23, Measurements!AG26&lt;='mean+3Sigma'!AG23)</f>
        <v>1</v>
      </c>
      <c r="AH26" s="16">
        <f>--AND(Measurements!AH26&gt;='mean-3Sigma'!AH23, Measurements!AH26&lt;='mean+3Sigma'!AH23)</f>
        <v>1</v>
      </c>
      <c r="AI26" s="16">
        <f>--AND(Measurements!AI26&gt;='mean-3Sigma'!AI23, Measurements!AI26&lt;='mean+3Sigma'!AI23)</f>
        <v>1</v>
      </c>
      <c r="AJ26" s="16">
        <f>--AND(Measurements!AJ26&gt;='mean-3Sigma'!AJ23, Measurements!AJ26&lt;='mean+3Sigma'!AJ23)</f>
        <v>1</v>
      </c>
      <c r="AK26" s="16">
        <f>--AND(Measurements!AK26&gt;='mean-3Sigma'!AK23, Measurements!AK26&lt;='mean+3Sigma'!AK23)</f>
        <v>1</v>
      </c>
      <c r="AL26" s="16">
        <f>--AND(Measurements!AL26&gt;='mean-3Sigma'!AL23, Measurements!AL26&lt;='mean+3Sigma'!AL23)</f>
        <v>1</v>
      </c>
      <c r="AM26" s="16">
        <f>--AND(Measurements!AM26&gt;='mean-3Sigma'!AM23, Measurements!AM26&lt;='mean+3Sigma'!AM23)</f>
        <v>1</v>
      </c>
      <c r="AN26" s="16">
        <f>--AND(Measurements!AN26&gt;='mean-3Sigma'!AN23, Measurements!AN26&lt;='mean+3Sigma'!AN23)</f>
        <v>1</v>
      </c>
      <c r="AO26" s="16">
        <f>--AND(Measurements!AO26&gt;='mean-3Sigma'!AO23, Measurements!AO26&lt;='mean+3Sigma'!AO23)</f>
        <v>1</v>
      </c>
      <c r="AP26" s="16">
        <f>--AND(Measurements!AP26&gt;='mean-3Sigma'!AP23, Measurements!AP26&lt;='mean+3Sigma'!AP23)</f>
        <v>1</v>
      </c>
      <c r="AQ26" s="16">
        <f>--AND(Measurements!AQ26&gt;='mean-3Sigma'!AQ23, Measurements!AQ26&lt;='mean+3Sigma'!AQ23)</f>
        <v>1</v>
      </c>
      <c r="AR26" s="16">
        <f>--AND(Measurements!AR26&gt;='mean-3Sigma'!AR23, Measurements!AR26&lt;='mean+3Sigma'!AR23)</f>
        <v>1</v>
      </c>
      <c r="AS26" s="16">
        <f>--AND(Measurements!AS26&gt;='mean-3Sigma'!AS23, Measurements!AS26&lt;='mean+3Sigma'!AS23)</f>
        <v>0</v>
      </c>
      <c r="AT26" s="16">
        <f>--AND(Measurements!AT26&gt;='mean-3Sigma'!AT23, Measurements!AT26&lt;='mean+3Sigma'!AT23)</f>
        <v>1</v>
      </c>
      <c r="AU26" s="16">
        <f>--AND(Measurements!AU26&gt;='mean-3Sigma'!AU23, Measurements!AU26&lt;='mean+3Sigma'!AU23)</f>
        <v>0</v>
      </c>
      <c r="AV26" s="16">
        <f>--AND(Measurements!AV26&gt;='mean-3Sigma'!AV23, Measurements!AV26&lt;='mean+3Sigma'!AV23)</f>
        <v>1</v>
      </c>
      <c r="AW26" s="16">
        <f>--AND(Measurements!AW26&gt;='mean-3Sigma'!AW23, Measurements!AW26&lt;='mean+3Sigma'!AW23)</f>
        <v>1</v>
      </c>
      <c r="AX26" s="16">
        <f>--AND(Measurements!AX26&gt;='mean-3Sigma'!AX23, Measurements!AX26&lt;='mean+3Sigma'!AX23)</f>
        <v>1</v>
      </c>
    </row>
    <row r="27" spans="1:50">
      <c r="A27">
        <v>495</v>
      </c>
      <c r="B27" s="16">
        <f>--AND(Measurements!B27&gt;='mean-3Sigma'!B24, Measurements!B27&lt;='mean+3Sigma'!B24)</f>
        <v>1</v>
      </c>
      <c r="C27" s="16">
        <f>--AND(Measurements!C27&gt;='mean-3Sigma'!C24, Measurements!C27&lt;='mean+3Sigma'!C24)</f>
        <v>1</v>
      </c>
      <c r="D27" s="16">
        <f>--AND(Measurements!D27&gt;='mean-3Sigma'!D24, Measurements!D27&lt;='mean+3Sigma'!D24)</f>
        <v>1</v>
      </c>
      <c r="E27" s="16">
        <f>--AND(Measurements!E27&gt;='mean-3Sigma'!E24, Measurements!E27&lt;='mean+3Sigma'!E24)</f>
        <v>1</v>
      </c>
      <c r="F27" s="16">
        <f>--AND(Measurements!F27&gt;='mean-3Sigma'!F24, Measurements!F27&lt;='mean+3Sigma'!F24)</f>
        <v>1</v>
      </c>
      <c r="G27" s="16">
        <f>--AND(Measurements!G27&gt;='mean-3Sigma'!G24, Measurements!G27&lt;='mean+3Sigma'!G24)</f>
        <v>1</v>
      </c>
      <c r="H27" s="16">
        <f>--AND(Measurements!H27&gt;='mean-3Sigma'!H24, Measurements!H27&lt;='mean+3Sigma'!H24)</f>
        <v>1</v>
      </c>
      <c r="I27" s="16">
        <f>--AND(Measurements!I27&gt;='mean-3Sigma'!I24, Measurements!I27&lt;='mean+3Sigma'!I24)</f>
        <v>1</v>
      </c>
      <c r="J27" s="16">
        <f>--AND(Measurements!J27&gt;='mean-3Sigma'!J24, Measurements!J27&lt;='mean+3Sigma'!J24)</f>
        <v>1</v>
      </c>
      <c r="K27" s="16">
        <f>--AND(Measurements!K27&gt;='mean-3Sigma'!K24, Measurements!K27&lt;='mean+3Sigma'!K24)</f>
        <v>1</v>
      </c>
      <c r="L27" s="16">
        <f>--AND(Measurements!L27&gt;='mean-3Sigma'!L24, Measurements!L27&lt;='mean+3Sigma'!L24)</f>
        <v>1</v>
      </c>
      <c r="M27" s="16">
        <f>--AND(Measurements!M27&gt;='mean-3Sigma'!M24, Measurements!M27&lt;='mean+3Sigma'!M24)</f>
        <v>1</v>
      </c>
      <c r="N27" s="16">
        <f>--AND(Measurements!N27&gt;='mean-3Sigma'!N24, Measurements!N27&lt;='mean+3Sigma'!N24)</f>
        <v>1</v>
      </c>
      <c r="O27" s="16">
        <f>--AND(Measurements!O27&gt;='mean-3Sigma'!O24, Measurements!O27&lt;='mean+3Sigma'!O24)</f>
        <v>1</v>
      </c>
      <c r="P27" s="16">
        <f>--AND(Measurements!P27&gt;='mean-3Sigma'!P24, Measurements!P27&lt;='mean+3Sigma'!P24)</f>
        <v>1</v>
      </c>
      <c r="Q27" s="16">
        <f>--AND(Measurements!Q27&gt;='mean-3Sigma'!Q24, Measurements!Q27&lt;='mean+3Sigma'!Q24)</f>
        <v>1</v>
      </c>
      <c r="R27" s="16">
        <f>--AND(Measurements!R27&gt;='mean-3Sigma'!R24, Measurements!R27&lt;='mean+3Sigma'!R24)</f>
        <v>1</v>
      </c>
      <c r="S27" s="16">
        <f>--AND(Measurements!S27&gt;='mean-3Sigma'!S24, Measurements!S27&lt;='mean+3Sigma'!S24)</f>
        <v>1</v>
      </c>
      <c r="T27" s="16">
        <f>--AND(Measurements!T27&gt;='mean-3Sigma'!T24, Measurements!T27&lt;='mean+3Sigma'!T24)</f>
        <v>1</v>
      </c>
      <c r="U27" s="16">
        <f>--AND(Measurements!U27&gt;='mean-3Sigma'!U24, Measurements!U27&lt;='mean+3Sigma'!U24)</f>
        <v>1</v>
      </c>
      <c r="V27" s="16">
        <f>--AND(Measurements!V27&gt;='mean-3Sigma'!V24, Measurements!V27&lt;='mean+3Sigma'!V24)</f>
        <v>1</v>
      </c>
      <c r="W27" s="16">
        <f>--AND(Measurements!W27&gt;='mean-3Sigma'!W24, Measurements!W27&lt;='mean+3Sigma'!W24)</f>
        <v>1</v>
      </c>
      <c r="X27" s="16">
        <f>--AND(Measurements!X27&gt;='mean-3Sigma'!X24, Measurements!X27&lt;='mean+3Sigma'!X24)</f>
        <v>1</v>
      </c>
      <c r="Y27" s="16">
        <f>--AND(Measurements!Y27&gt;='mean-3Sigma'!Y24, Measurements!Y27&lt;='mean+3Sigma'!Y24)</f>
        <v>1</v>
      </c>
      <c r="Z27" s="16">
        <f>--AND(Measurements!Z27&gt;='mean-3Sigma'!Z24, Measurements!Z27&lt;='mean+3Sigma'!Z24)</f>
        <v>1</v>
      </c>
      <c r="AA27" s="16">
        <f>--AND(Measurements!AA27&gt;='mean-3Sigma'!AA24, Measurements!AA27&lt;='mean+3Sigma'!AA24)</f>
        <v>1</v>
      </c>
      <c r="AB27" s="16">
        <f>--AND(Measurements!AB27&gt;='mean-3Sigma'!AB24, Measurements!AB27&lt;='mean+3Sigma'!AB24)</f>
        <v>1</v>
      </c>
      <c r="AC27" s="16">
        <f>--AND(Measurements!AC27&gt;='mean-3Sigma'!AC24, Measurements!AC27&lt;='mean+3Sigma'!AC24)</f>
        <v>1</v>
      </c>
      <c r="AD27" s="16">
        <f>--AND(Measurements!AD27&gt;='mean-3Sigma'!AD24, Measurements!AD27&lt;='mean+3Sigma'!AD24)</f>
        <v>1</v>
      </c>
      <c r="AE27" s="16">
        <f>--AND(Measurements!AE27&gt;='mean-3Sigma'!AE24, Measurements!AE27&lt;='mean+3Sigma'!AE24)</f>
        <v>1</v>
      </c>
      <c r="AF27" s="16">
        <f>--AND(Measurements!AF27&gt;='mean-3Sigma'!AF24, Measurements!AF27&lt;='mean+3Sigma'!AF24)</f>
        <v>1</v>
      </c>
      <c r="AG27" s="16">
        <f>--AND(Measurements!AG27&gt;='mean-3Sigma'!AG24, Measurements!AG27&lt;='mean+3Sigma'!AG24)</f>
        <v>1</v>
      </c>
      <c r="AH27" s="16">
        <f>--AND(Measurements!AH27&gt;='mean-3Sigma'!AH24, Measurements!AH27&lt;='mean+3Sigma'!AH24)</f>
        <v>1</v>
      </c>
      <c r="AI27" s="16">
        <f>--AND(Measurements!AI27&gt;='mean-3Sigma'!AI24, Measurements!AI27&lt;='mean+3Sigma'!AI24)</f>
        <v>1</v>
      </c>
      <c r="AJ27" s="16">
        <f>--AND(Measurements!AJ27&gt;='mean-3Sigma'!AJ24, Measurements!AJ27&lt;='mean+3Sigma'!AJ24)</f>
        <v>1</v>
      </c>
      <c r="AK27" s="16">
        <f>--AND(Measurements!AK27&gt;='mean-3Sigma'!AK24, Measurements!AK27&lt;='mean+3Sigma'!AK24)</f>
        <v>1</v>
      </c>
      <c r="AL27" s="16">
        <f>--AND(Measurements!AL27&gt;='mean-3Sigma'!AL24, Measurements!AL27&lt;='mean+3Sigma'!AL24)</f>
        <v>1</v>
      </c>
      <c r="AM27" s="16">
        <f>--AND(Measurements!AM27&gt;='mean-3Sigma'!AM24, Measurements!AM27&lt;='mean+3Sigma'!AM24)</f>
        <v>1</v>
      </c>
      <c r="AN27" s="16">
        <f>--AND(Measurements!AN27&gt;='mean-3Sigma'!AN24, Measurements!AN27&lt;='mean+3Sigma'!AN24)</f>
        <v>1</v>
      </c>
      <c r="AO27" s="16">
        <f>--AND(Measurements!AO27&gt;='mean-3Sigma'!AO24, Measurements!AO27&lt;='mean+3Sigma'!AO24)</f>
        <v>1</v>
      </c>
      <c r="AP27" s="16">
        <f>--AND(Measurements!AP27&gt;='mean-3Sigma'!AP24, Measurements!AP27&lt;='mean+3Sigma'!AP24)</f>
        <v>1</v>
      </c>
      <c r="AQ27" s="16">
        <f>--AND(Measurements!AQ27&gt;='mean-3Sigma'!AQ24, Measurements!AQ27&lt;='mean+3Sigma'!AQ24)</f>
        <v>1</v>
      </c>
      <c r="AR27" s="16">
        <f>--AND(Measurements!AR27&gt;='mean-3Sigma'!AR24, Measurements!AR27&lt;='mean+3Sigma'!AR24)</f>
        <v>1</v>
      </c>
      <c r="AS27" s="16">
        <f>--AND(Measurements!AS27&gt;='mean-3Sigma'!AS24, Measurements!AS27&lt;='mean+3Sigma'!AS24)</f>
        <v>0</v>
      </c>
      <c r="AT27" s="16">
        <f>--AND(Measurements!AT27&gt;='mean-3Sigma'!AT24, Measurements!AT27&lt;='mean+3Sigma'!AT24)</f>
        <v>1</v>
      </c>
      <c r="AU27" s="16">
        <f>--AND(Measurements!AU27&gt;='mean-3Sigma'!AU24, Measurements!AU27&lt;='mean+3Sigma'!AU24)</f>
        <v>0</v>
      </c>
      <c r="AV27" s="16">
        <f>--AND(Measurements!AV27&gt;='mean-3Sigma'!AV24, Measurements!AV27&lt;='mean+3Sigma'!AV24)</f>
        <v>1</v>
      </c>
      <c r="AW27" s="16">
        <f>--AND(Measurements!AW27&gt;='mean-3Sigma'!AW24, Measurements!AW27&lt;='mean+3Sigma'!AW24)</f>
        <v>1</v>
      </c>
      <c r="AX27" s="16">
        <f>--AND(Measurements!AX27&gt;='mean-3Sigma'!AX24, Measurements!AX27&lt;='mean+3Sigma'!AX24)</f>
        <v>1</v>
      </c>
    </row>
    <row r="28" spans="1:50">
      <c r="A28">
        <v>495</v>
      </c>
      <c r="B28" s="16">
        <f>--AND(Measurements!B28&gt;='mean-3Sigma'!B25, Measurements!B28&lt;='mean+3Sigma'!B25)</f>
        <v>1</v>
      </c>
      <c r="C28" s="16">
        <f>--AND(Measurements!C28&gt;='mean-3Sigma'!C25, Measurements!C28&lt;='mean+3Sigma'!C25)</f>
        <v>1</v>
      </c>
      <c r="D28" s="16">
        <f>--AND(Measurements!D28&gt;='mean-3Sigma'!D25, Measurements!D28&lt;='mean+3Sigma'!D25)</f>
        <v>1</v>
      </c>
      <c r="E28" s="16">
        <f>--AND(Measurements!E28&gt;='mean-3Sigma'!E25, Measurements!E28&lt;='mean+3Sigma'!E25)</f>
        <v>1</v>
      </c>
      <c r="F28" s="16">
        <f>--AND(Measurements!F28&gt;='mean-3Sigma'!F25, Measurements!F28&lt;='mean+3Sigma'!F25)</f>
        <v>1</v>
      </c>
      <c r="G28" s="16">
        <f>--AND(Measurements!G28&gt;='mean-3Sigma'!G25, Measurements!G28&lt;='mean+3Sigma'!G25)</f>
        <v>1</v>
      </c>
      <c r="H28" s="16">
        <f>--AND(Measurements!H28&gt;='mean-3Sigma'!H25, Measurements!H28&lt;='mean+3Sigma'!H25)</f>
        <v>1</v>
      </c>
      <c r="I28" s="16">
        <f>--AND(Measurements!I28&gt;='mean-3Sigma'!I25, Measurements!I28&lt;='mean+3Sigma'!I25)</f>
        <v>1</v>
      </c>
      <c r="J28" s="16">
        <f>--AND(Measurements!J28&gt;='mean-3Sigma'!J25, Measurements!J28&lt;='mean+3Sigma'!J25)</f>
        <v>1</v>
      </c>
      <c r="K28" s="16">
        <f>--AND(Measurements!K28&gt;='mean-3Sigma'!K25, Measurements!K28&lt;='mean+3Sigma'!K25)</f>
        <v>1</v>
      </c>
      <c r="L28" s="16">
        <f>--AND(Measurements!L28&gt;='mean-3Sigma'!L25, Measurements!L28&lt;='mean+3Sigma'!L25)</f>
        <v>1</v>
      </c>
      <c r="M28" s="16">
        <f>--AND(Measurements!M28&gt;='mean-3Sigma'!M25, Measurements!M28&lt;='mean+3Sigma'!M25)</f>
        <v>1</v>
      </c>
      <c r="N28" s="16">
        <f>--AND(Measurements!N28&gt;='mean-3Sigma'!N25, Measurements!N28&lt;='mean+3Sigma'!N25)</f>
        <v>1</v>
      </c>
      <c r="O28" s="16">
        <f>--AND(Measurements!O28&gt;='mean-3Sigma'!O25, Measurements!O28&lt;='mean+3Sigma'!O25)</f>
        <v>1</v>
      </c>
      <c r="P28" s="16">
        <f>--AND(Measurements!P28&gt;='mean-3Sigma'!P25, Measurements!P28&lt;='mean+3Sigma'!P25)</f>
        <v>1</v>
      </c>
      <c r="Q28" s="16">
        <f>--AND(Measurements!Q28&gt;='mean-3Sigma'!Q25, Measurements!Q28&lt;='mean+3Sigma'!Q25)</f>
        <v>1</v>
      </c>
      <c r="R28" s="16">
        <f>--AND(Measurements!R28&gt;='mean-3Sigma'!R25, Measurements!R28&lt;='mean+3Sigma'!R25)</f>
        <v>1</v>
      </c>
      <c r="S28" s="16">
        <f>--AND(Measurements!S28&gt;='mean-3Sigma'!S25, Measurements!S28&lt;='mean+3Sigma'!S25)</f>
        <v>1</v>
      </c>
      <c r="T28" s="16">
        <f>--AND(Measurements!T28&gt;='mean-3Sigma'!T25, Measurements!T28&lt;='mean+3Sigma'!T25)</f>
        <v>1</v>
      </c>
      <c r="U28" s="16">
        <f>--AND(Measurements!U28&gt;='mean-3Sigma'!U25, Measurements!U28&lt;='mean+3Sigma'!U25)</f>
        <v>1</v>
      </c>
      <c r="V28" s="16">
        <f>--AND(Measurements!V28&gt;='mean-3Sigma'!V25, Measurements!V28&lt;='mean+3Sigma'!V25)</f>
        <v>1</v>
      </c>
      <c r="W28" s="16">
        <f>--AND(Measurements!W28&gt;='mean-3Sigma'!W25, Measurements!W28&lt;='mean+3Sigma'!W25)</f>
        <v>1</v>
      </c>
      <c r="X28" s="16">
        <f>--AND(Measurements!X28&gt;='mean-3Sigma'!X25, Measurements!X28&lt;='mean+3Sigma'!X25)</f>
        <v>1</v>
      </c>
      <c r="Y28" s="16">
        <f>--AND(Measurements!Y28&gt;='mean-3Sigma'!Y25, Measurements!Y28&lt;='mean+3Sigma'!Y25)</f>
        <v>1</v>
      </c>
      <c r="Z28" s="16">
        <f>--AND(Measurements!Z28&gt;='mean-3Sigma'!Z25, Measurements!Z28&lt;='mean+3Sigma'!Z25)</f>
        <v>1</v>
      </c>
      <c r="AA28" s="16">
        <f>--AND(Measurements!AA28&gt;='mean-3Sigma'!AA25, Measurements!AA28&lt;='mean+3Sigma'!AA25)</f>
        <v>1</v>
      </c>
      <c r="AB28" s="16">
        <f>--AND(Measurements!AB28&gt;='mean-3Sigma'!AB25, Measurements!AB28&lt;='mean+3Sigma'!AB25)</f>
        <v>1</v>
      </c>
      <c r="AC28" s="16">
        <f>--AND(Measurements!AC28&gt;='mean-3Sigma'!AC25, Measurements!AC28&lt;='mean+3Sigma'!AC25)</f>
        <v>1</v>
      </c>
      <c r="AD28" s="16">
        <f>--AND(Measurements!AD28&gt;='mean-3Sigma'!AD25, Measurements!AD28&lt;='mean+3Sigma'!AD25)</f>
        <v>1</v>
      </c>
      <c r="AE28" s="16">
        <f>--AND(Measurements!AE28&gt;='mean-3Sigma'!AE25, Measurements!AE28&lt;='mean+3Sigma'!AE25)</f>
        <v>1</v>
      </c>
      <c r="AF28" s="16">
        <f>--AND(Measurements!AF28&gt;='mean-3Sigma'!AF25, Measurements!AF28&lt;='mean+3Sigma'!AF25)</f>
        <v>1</v>
      </c>
      <c r="AG28" s="16">
        <f>--AND(Measurements!AG28&gt;='mean-3Sigma'!AG25, Measurements!AG28&lt;='mean+3Sigma'!AG25)</f>
        <v>1</v>
      </c>
      <c r="AH28" s="16">
        <f>--AND(Measurements!AH28&gt;='mean-3Sigma'!AH25, Measurements!AH28&lt;='mean+3Sigma'!AH25)</f>
        <v>1</v>
      </c>
      <c r="AI28" s="16">
        <f>--AND(Measurements!AI28&gt;='mean-3Sigma'!AI25, Measurements!AI28&lt;='mean+3Sigma'!AI25)</f>
        <v>1</v>
      </c>
      <c r="AJ28" s="16">
        <f>--AND(Measurements!AJ28&gt;='mean-3Sigma'!AJ25, Measurements!AJ28&lt;='mean+3Sigma'!AJ25)</f>
        <v>1</v>
      </c>
      <c r="AK28" s="16">
        <f>--AND(Measurements!AK28&gt;='mean-3Sigma'!AK25, Measurements!AK28&lt;='mean+3Sigma'!AK25)</f>
        <v>1</v>
      </c>
      <c r="AL28" s="16">
        <f>--AND(Measurements!AL28&gt;='mean-3Sigma'!AL25, Measurements!AL28&lt;='mean+3Sigma'!AL25)</f>
        <v>1</v>
      </c>
      <c r="AM28" s="16">
        <f>--AND(Measurements!AM28&gt;='mean-3Sigma'!AM25, Measurements!AM28&lt;='mean+3Sigma'!AM25)</f>
        <v>1</v>
      </c>
      <c r="AN28" s="16">
        <f>--AND(Measurements!AN28&gt;='mean-3Sigma'!AN25, Measurements!AN28&lt;='mean+3Sigma'!AN25)</f>
        <v>1</v>
      </c>
      <c r="AO28" s="16">
        <f>--AND(Measurements!AO28&gt;='mean-3Sigma'!AO25, Measurements!AO28&lt;='mean+3Sigma'!AO25)</f>
        <v>1</v>
      </c>
      <c r="AP28" s="16">
        <f>--AND(Measurements!AP28&gt;='mean-3Sigma'!AP25, Measurements!AP28&lt;='mean+3Sigma'!AP25)</f>
        <v>1</v>
      </c>
      <c r="AQ28" s="16">
        <f>--AND(Measurements!AQ28&gt;='mean-3Sigma'!AQ25, Measurements!AQ28&lt;='mean+3Sigma'!AQ25)</f>
        <v>1</v>
      </c>
      <c r="AR28" s="16">
        <f>--AND(Measurements!AR28&gt;='mean-3Sigma'!AR25, Measurements!AR28&lt;='mean+3Sigma'!AR25)</f>
        <v>1</v>
      </c>
      <c r="AS28" s="16">
        <f>--AND(Measurements!AS28&gt;='mean-3Sigma'!AS25, Measurements!AS28&lt;='mean+3Sigma'!AS25)</f>
        <v>0</v>
      </c>
      <c r="AT28" s="16">
        <f>--AND(Measurements!AT28&gt;='mean-3Sigma'!AT25, Measurements!AT28&lt;='mean+3Sigma'!AT25)</f>
        <v>1</v>
      </c>
      <c r="AU28" s="16">
        <f>--AND(Measurements!AU28&gt;='mean-3Sigma'!AU25, Measurements!AU28&lt;='mean+3Sigma'!AU25)</f>
        <v>0</v>
      </c>
      <c r="AV28" s="16">
        <f>--AND(Measurements!AV28&gt;='mean-3Sigma'!AV25, Measurements!AV28&lt;='mean+3Sigma'!AV25)</f>
        <v>1</v>
      </c>
      <c r="AW28" s="16">
        <f>--AND(Measurements!AW28&gt;='mean-3Sigma'!AW25, Measurements!AW28&lt;='mean+3Sigma'!AW25)</f>
        <v>1</v>
      </c>
      <c r="AX28" s="16">
        <f>--AND(Measurements!AX28&gt;='mean-3Sigma'!AX25, Measurements!AX28&lt;='mean+3Sigma'!AX25)</f>
        <v>1</v>
      </c>
    </row>
    <row r="29" spans="1:50">
      <c r="A29">
        <v>495</v>
      </c>
      <c r="B29" s="16">
        <f>--AND(Measurements!B29&gt;='mean-3Sigma'!B26, Measurements!B29&lt;='mean+3Sigma'!B26)</f>
        <v>1</v>
      </c>
      <c r="C29" s="16">
        <f>--AND(Measurements!C29&gt;='mean-3Sigma'!C26, Measurements!C29&lt;='mean+3Sigma'!C26)</f>
        <v>1</v>
      </c>
      <c r="D29" s="16">
        <f>--AND(Measurements!D29&gt;='mean-3Sigma'!D26, Measurements!D29&lt;='mean+3Sigma'!D26)</f>
        <v>1</v>
      </c>
      <c r="E29" s="16">
        <f>--AND(Measurements!E29&gt;='mean-3Sigma'!E26, Measurements!E29&lt;='mean+3Sigma'!E26)</f>
        <v>1</v>
      </c>
      <c r="F29" s="16">
        <f>--AND(Measurements!F29&gt;='mean-3Sigma'!F26, Measurements!F29&lt;='mean+3Sigma'!F26)</f>
        <v>1</v>
      </c>
      <c r="G29" s="16">
        <f>--AND(Measurements!G29&gt;='mean-3Sigma'!G26, Measurements!G29&lt;='mean+3Sigma'!G26)</f>
        <v>1</v>
      </c>
      <c r="H29" s="16">
        <f>--AND(Measurements!H29&gt;='mean-3Sigma'!H26, Measurements!H29&lt;='mean+3Sigma'!H26)</f>
        <v>1</v>
      </c>
      <c r="I29" s="16">
        <f>--AND(Measurements!I29&gt;='mean-3Sigma'!I26, Measurements!I29&lt;='mean+3Sigma'!I26)</f>
        <v>1</v>
      </c>
      <c r="J29" s="16">
        <f>--AND(Measurements!J29&gt;='mean-3Sigma'!J26, Measurements!J29&lt;='mean+3Sigma'!J26)</f>
        <v>1</v>
      </c>
      <c r="K29" s="16">
        <f>--AND(Measurements!K29&gt;='mean-3Sigma'!K26, Measurements!K29&lt;='mean+3Sigma'!K26)</f>
        <v>1</v>
      </c>
      <c r="L29" s="16">
        <f>--AND(Measurements!L29&gt;='mean-3Sigma'!L26, Measurements!L29&lt;='mean+3Sigma'!L26)</f>
        <v>1</v>
      </c>
      <c r="M29" s="16">
        <f>--AND(Measurements!M29&gt;='mean-3Sigma'!M26, Measurements!M29&lt;='mean+3Sigma'!M26)</f>
        <v>1</v>
      </c>
      <c r="N29" s="16">
        <f>--AND(Measurements!N29&gt;='mean-3Sigma'!N26, Measurements!N29&lt;='mean+3Sigma'!N26)</f>
        <v>1</v>
      </c>
      <c r="O29" s="16">
        <f>--AND(Measurements!O29&gt;='mean-3Sigma'!O26, Measurements!O29&lt;='mean+3Sigma'!O26)</f>
        <v>1</v>
      </c>
      <c r="P29" s="16">
        <f>--AND(Measurements!P29&gt;='mean-3Sigma'!P26, Measurements!P29&lt;='mean+3Sigma'!P26)</f>
        <v>1</v>
      </c>
      <c r="Q29" s="16">
        <f>--AND(Measurements!Q29&gt;='mean-3Sigma'!Q26, Measurements!Q29&lt;='mean+3Sigma'!Q26)</f>
        <v>1</v>
      </c>
      <c r="R29" s="16">
        <f>--AND(Measurements!R29&gt;='mean-3Sigma'!R26, Measurements!R29&lt;='mean+3Sigma'!R26)</f>
        <v>1</v>
      </c>
      <c r="S29" s="16">
        <f>--AND(Measurements!S29&gt;='mean-3Sigma'!S26, Measurements!S29&lt;='mean+3Sigma'!S26)</f>
        <v>1</v>
      </c>
      <c r="T29" s="16">
        <f>--AND(Measurements!T29&gt;='mean-3Sigma'!T26, Measurements!T29&lt;='mean+3Sigma'!T26)</f>
        <v>1</v>
      </c>
      <c r="U29" s="16">
        <f>--AND(Measurements!U29&gt;='mean-3Sigma'!U26, Measurements!U29&lt;='mean+3Sigma'!U26)</f>
        <v>1</v>
      </c>
      <c r="V29" s="16">
        <f>--AND(Measurements!V29&gt;='mean-3Sigma'!V26, Measurements!V29&lt;='mean+3Sigma'!V26)</f>
        <v>1</v>
      </c>
      <c r="W29" s="16">
        <f>--AND(Measurements!W29&gt;='mean-3Sigma'!W26, Measurements!W29&lt;='mean+3Sigma'!W26)</f>
        <v>1</v>
      </c>
      <c r="X29" s="16">
        <f>--AND(Measurements!X29&gt;='mean-3Sigma'!X26, Measurements!X29&lt;='mean+3Sigma'!X26)</f>
        <v>1</v>
      </c>
      <c r="Y29" s="16">
        <f>--AND(Measurements!Y29&gt;='mean-3Sigma'!Y26, Measurements!Y29&lt;='mean+3Sigma'!Y26)</f>
        <v>1</v>
      </c>
      <c r="Z29" s="16">
        <f>--AND(Measurements!Z29&gt;='mean-3Sigma'!Z26, Measurements!Z29&lt;='mean+3Sigma'!Z26)</f>
        <v>1</v>
      </c>
      <c r="AA29" s="16">
        <f>--AND(Measurements!AA29&gt;='mean-3Sigma'!AA26, Measurements!AA29&lt;='mean+3Sigma'!AA26)</f>
        <v>1</v>
      </c>
      <c r="AB29" s="16">
        <f>--AND(Measurements!AB29&gt;='mean-3Sigma'!AB26, Measurements!AB29&lt;='mean+3Sigma'!AB26)</f>
        <v>1</v>
      </c>
      <c r="AC29" s="16">
        <f>--AND(Measurements!AC29&gt;='mean-3Sigma'!AC26, Measurements!AC29&lt;='mean+3Sigma'!AC26)</f>
        <v>1</v>
      </c>
      <c r="AD29" s="16">
        <f>--AND(Measurements!AD29&gt;='mean-3Sigma'!AD26, Measurements!AD29&lt;='mean+3Sigma'!AD26)</f>
        <v>1</v>
      </c>
      <c r="AE29" s="16">
        <f>--AND(Measurements!AE29&gt;='mean-3Sigma'!AE26, Measurements!AE29&lt;='mean+3Sigma'!AE26)</f>
        <v>1</v>
      </c>
      <c r="AF29" s="16">
        <f>--AND(Measurements!AF29&gt;='mean-3Sigma'!AF26, Measurements!AF29&lt;='mean+3Sigma'!AF26)</f>
        <v>1</v>
      </c>
      <c r="AG29" s="16">
        <f>--AND(Measurements!AG29&gt;='mean-3Sigma'!AG26, Measurements!AG29&lt;='mean+3Sigma'!AG26)</f>
        <v>1</v>
      </c>
      <c r="AH29" s="16">
        <f>--AND(Measurements!AH29&gt;='mean-3Sigma'!AH26, Measurements!AH29&lt;='mean+3Sigma'!AH26)</f>
        <v>1</v>
      </c>
      <c r="AI29" s="16">
        <f>--AND(Measurements!AI29&gt;='mean-3Sigma'!AI26, Measurements!AI29&lt;='mean+3Sigma'!AI26)</f>
        <v>1</v>
      </c>
      <c r="AJ29" s="16">
        <f>--AND(Measurements!AJ29&gt;='mean-3Sigma'!AJ26, Measurements!AJ29&lt;='mean+3Sigma'!AJ26)</f>
        <v>1</v>
      </c>
      <c r="AK29" s="16">
        <f>--AND(Measurements!AK29&gt;='mean-3Sigma'!AK26, Measurements!AK29&lt;='mean+3Sigma'!AK26)</f>
        <v>1</v>
      </c>
      <c r="AL29" s="16">
        <f>--AND(Measurements!AL29&gt;='mean-3Sigma'!AL26, Measurements!AL29&lt;='mean+3Sigma'!AL26)</f>
        <v>1</v>
      </c>
      <c r="AM29" s="16">
        <f>--AND(Measurements!AM29&gt;='mean-3Sigma'!AM26, Measurements!AM29&lt;='mean+3Sigma'!AM26)</f>
        <v>1</v>
      </c>
      <c r="AN29" s="16">
        <f>--AND(Measurements!AN29&gt;='mean-3Sigma'!AN26, Measurements!AN29&lt;='mean+3Sigma'!AN26)</f>
        <v>1</v>
      </c>
      <c r="AO29" s="16">
        <f>--AND(Measurements!AO29&gt;='mean-3Sigma'!AO26, Measurements!AO29&lt;='mean+3Sigma'!AO26)</f>
        <v>1</v>
      </c>
      <c r="AP29" s="16">
        <f>--AND(Measurements!AP29&gt;='mean-3Sigma'!AP26, Measurements!AP29&lt;='mean+3Sigma'!AP26)</f>
        <v>1</v>
      </c>
      <c r="AQ29" s="16">
        <f>--AND(Measurements!AQ29&gt;='mean-3Sigma'!AQ26, Measurements!AQ29&lt;='mean+3Sigma'!AQ26)</f>
        <v>1</v>
      </c>
      <c r="AR29" s="16">
        <f>--AND(Measurements!AR29&gt;='mean-3Sigma'!AR26, Measurements!AR29&lt;='mean+3Sigma'!AR26)</f>
        <v>1</v>
      </c>
      <c r="AS29" s="16">
        <f>--AND(Measurements!AS29&gt;='mean-3Sigma'!AS26, Measurements!AS29&lt;='mean+3Sigma'!AS26)</f>
        <v>0</v>
      </c>
      <c r="AT29" s="16">
        <f>--AND(Measurements!AT29&gt;='mean-3Sigma'!AT26, Measurements!AT29&lt;='mean+3Sigma'!AT26)</f>
        <v>1</v>
      </c>
      <c r="AU29" s="16">
        <f>--AND(Measurements!AU29&gt;='mean-3Sigma'!AU26, Measurements!AU29&lt;='mean+3Sigma'!AU26)</f>
        <v>0</v>
      </c>
      <c r="AV29" s="16">
        <f>--AND(Measurements!AV29&gt;='mean-3Sigma'!AV26, Measurements!AV29&lt;='mean+3Sigma'!AV26)</f>
        <v>1</v>
      </c>
      <c r="AW29" s="16">
        <f>--AND(Measurements!AW29&gt;='mean-3Sigma'!AW26, Measurements!AW29&lt;='mean+3Sigma'!AW26)</f>
        <v>1</v>
      </c>
      <c r="AX29" s="16">
        <f>--AND(Measurements!AX29&gt;='mean-3Sigma'!AX26, Measurements!AX29&lt;='mean+3Sigma'!AX26)</f>
        <v>1</v>
      </c>
    </row>
    <row r="30" spans="1:50">
      <c r="A30">
        <v>525</v>
      </c>
      <c r="B30" s="16">
        <f>--AND(Measurements!B30&gt;='mean-3Sigma'!B27, Measurements!B30&lt;='mean+3Sigma'!B27)</f>
        <v>1</v>
      </c>
      <c r="C30" s="16">
        <f>--AND(Measurements!C30&gt;='mean-3Sigma'!C27, Measurements!C30&lt;='mean+3Sigma'!C27)</f>
        <v>1</v>
      </c>
      <c r="D30" s="16">
        <f>--AND(Measurements!D30&gt;='mean-3Sigma'!D27, Measurements!D30&lt;='mean+3Sigma'!D27)</f>
        <v>1</v>
      </c>
      <c r="E30" s="16">
        <f>--AND(Measurements!E30&gt;='mean-3Sigma'!E27, Measurements!E30&lt;='mean+3Sigma'!E27)</f>
        <v>1</v>
      </c>
      <c r="F30" s="16">
        <f>--AND(Measurements!F30&gt;='mean-3Sigma'!F27, Measurements!F30&lt;='mean+3Sigma'!F27)</f>
        <v>1</v>
      </c>
      <c r="G30" s="16">
        <f>--AND(Measurements!G30&gt;='mean-3Sigma'!G27, Measurements!G30&lt;='mean+3Sigma'!G27)</f>
        <v>1</v>
      </c>
      <c r="H30" s="16">
        <f>--AND(Measurements!H30&gt;='mean-3Sigma'!H27, Measurements!H30&lt;='mean+3Sigma'!H27)</f>
        <v>1</v>
      </c>
      <c r="I30" s="16">
        <f>--AND(Measurements!I30&gt;='mean-3Sigma'!I27, Measurements!I30&lt;='mean+3Sigma'!I27)</f>
        <v>1</v>
      </c>
      <c r="J30" s="16">
        <f>--AND(Measurements!J30&gt;='mean-3Sigma'!J27, Measurements!J30&lt;='mean+3Sigma'!J27)</f>
        <v>1</v>
      </c>
      <c r="K30" s="16">
        <f>--AND(Measurements!K30&gt;='mean-3Sigma'!K27, Measurements!K30&lt;='mean+3Sigma'!K27)</f>
        <v>1</v>
      </c>
      <c r="L30" s="16">
        <f>--AND(Measurements!L30&gt;='mean-3Sigma'!L27, Measurements!L30&lt;='mean+3Sigma'!L27)</f>
        <v>1</v>
      </c>
      <c r="M30" s="16">
        <f>--AND(Measurements!M30&gt;='mean-3Sigma'!M27, Measurements!M30&lt;='mean+3Sigma'!M27)</f>
        <v>1</v>
      </c>
      <c r="N30" s="16">
        <f>--AND(Measurements!N30&gt;='mean-3Sigma'!N27, Measurements!N30&lt;='mean+3Sigma'!N27)</f>
        <v>1</v>
      </c>
      <c r="O30" s="16">
        <f>--AND(Measurements!O30&gt;='mean-3Sigma'!O27, Measurements!O30&lt;='mean+3Sigma'!O27)</f>
        <v>1</v>
      </c>
      <c r="P30" s="16">
        <f>--AND(Measurements!P30&gt;='mean-3Sigma'!P27, Measurements!P30&lt;='mean+3Sigma'!P27)</f>
        <v>1</v>
      </c>
      <c r="Q30" s="16">
        <f>--AND(Measurements!Q30&gt;='mean-3Sigma'!Q27, Measurements!Q30&lt;='mean+3Sigma'!Q27)</f>
        <v>1</v>
      </c>
      <c r="R30" s="16">
        <f>--AND(Measurements!R30&gt;='mean-3Sigma'!R27, Measurements!R30&lt;='mean+3Sigma'!R27)</f>
        <v>1</v>
      </c>
      <c r="S30" s="16">
        <f>--AND(Measurements!S30&gt;='mean-3Sigma'!S27, Measurements!S30&lt;='mean+3Sigma'!S27)</f>
        <v>1</v>
      </c>
      <c r="T30" s="16">
        <f>--AND(Measurements!T30&gt;='mean-3Sigma'!T27, Measurements!T30&lt;='mean+3Sigma'!T27)</f>
        <v>1</v>
      </c>
      <c r="U30" s="16">
        <f>--AND(Measurements!U30&gt;='mean-3Sigma'!U27, Measurements!U30&lt;='mean+3Sigma'!U27)</f>
        <v>1</v>
      </c>
      <c r="V30" s="16">
        <f>--AND(Measurements!V30&gt;='mean-3Sigma'!V27, Measurements!V30&lt;='mean+3Sigma'!V27)</f>
        <v>1</v>
      </c>
      <c r="W30" s="16">
        <f>--AND(Measurements!W30&gt;='mean-3Sigma'!W27, Measurements!W30&lt;='mean+3Sigma'!W27)</f>
        <v>1</v>
      </c>
      <c r="X30" s="16">
        <f>--AND(Measurements!X30&gt;='mean-3Sigma'!X27, Measurements!X30&lt;='mean+3Sigma'!X27)</f>
        <v>1</v>
      </c>
      <c r="Y30" s="16">
        <f>--AND(Measurements!Y30&gt;='mean-3Sigma'!Y27, Measurements!Y30&lt;='mean+3Sigma'!Y27)</f>
        <v>1</v>
      </c>
      <c r="Z30" s="16">
        <f>--AND(Measurements!Z30&gt;='mean-3Sigma'!Z27, Measurements!Z30&lt;='mean+3Sigma'!Z27)</f>
        <v>1</v>
      </c>
      <c r="AA30" s="16">
        <f>--AND(Measurements!AA30&gt;='mean-3Sigma'!AA27, Measurements!AA30&lt;='mean+3Sigma'!AA27)</f>
        <v>1</v>
      </c>
      <c r="AB30" s="16">
        <f>--AND(Measurements!AB30&gt;='mean-3Sigma'!AB27, Measurements!AB30&lt;='mean+3Sigma'!AB27)</f>
        <v>1</v>
      </c>
      <c r="AC30" s="16">
        <f>--AND(Measurements!AC30&gt;='mean-3Sigma'!AC27, Measurements!AC30&lt;='mean+3Sigma'!AC27)</f>
        <v>1</v>
      </c>
      <c r="AD30" s="16">
        <f>--AND(Measurements!AD30&gt;='mean-3Sigma'!AD27, Measurements!AD30&lt;='mean+3Sigma'!AD27)</f>
        <v>1</v>
      </c>
      <c r="AE30" s="16">
        <f>--AND(Measurements!AE30&gt;='mean-3Sigma'!AE27, Measurements!AE30&lt;='mean+3Sigma'!AE27)</f>
        <v>1</v>
      </c>
      <c r="AF30" s="16">
        <f>--AND(Measurements!AF30&gt;='mean-3Sigma'!AF27, Measurements!AF30&lt;='mean+3Sigma'!AF27)</f>
        <v>1</v>
      </c>
      <c r="AG30" s="16">
        <f>--AND(Measurements!AG30&gt;='mean-3Sigma'!AG27, Measurements!AG30&lt;='mean+3Sigma'!AG27)</f>
        <v>1</v>
      </c>
      <c r="AH30" s="16">
        <f>--AND(Measurements!AH30&gt;='mean-3Sigma'!AH27, Measurements!AH30&lt;='mean+3Sigma'!AH27)</f>
        <v>1</v>
      </c>
      <c r="AI30" s="16">
        <f>--AND(Measurements!AI30&gt;='mean-3Sigma'!AI27, Measurements!AI30&lt;='mean+3Sigma'!AI27)</f>
        <v>1</v>
      </c>
      <c r="AJ30" s="16">
        <f>--AND(Measurements!AJ30&gt;='mean-3Sigma'!AJ27, Measurements!AJ30&lt;='mean+3Sigma'!AJ27)</f>
        <v>1</v>
      </c>
      <c r="AK30" s="16">
        <f>--AND(Measurements!AK30&gt;='mean-3Sigma'!AK27, Measurements!AK30&lt;='mean+3Sigma'!AK27)</f>
        <v>0</v>
      </c>
      <c r="AL30" s="16">
        <f>--AND(Measurements!AL30&gt;='mean-3Sigma'!AL27, Measurements!AL30&lt;='mean+3Sigma'!AL27)</f>
        <v>0</v>
      </c>
      <c r="AM30" s="16">
        <f>--AND(Measurements!AM30&gt;='mean-3Sigma'!AM27, Measurements!AM30&lt;='mean+3Sigma'!AM27)</f>
        <v>1</v>
      </c>
      <c r="AN30" s="16">
        <f>--AND(Measurements!AN30&gt;='mean-3Sigma'!AN27, Measurements!AN30&lt;='mean+3Sigma'!AN27)</f>
        <v>1</v>
      </c>
      <c r="AO30" s="16">
        <f>--AND(Measurements!AO30&gt;='mean-3Sigma'!AO27, Measurements!AO30&lt;='mean+3Sigma'!AO27)</f>
        <v>1</v>
      </c>
      <c r="AP30" s="16">
        <f>--AND(Measurements!AP30&gt;='mean-3Sigma'!AP27, Measurements!AP30&lt;='mean+3Sigma'!AP27)</f>
        <v>1</v>
      </c>
      <c r="AQ30" s="16">
        <f>--AND(Measurements!AQ30&gt;='mean-3Sigma'!AQ27, Measurements!AQ30&lt;='mean+3Sigma'!AQ27)</f>
        <v>1</v>
      </c>
      <c r="AR30" s="16">
        <f>--AND(Measurements!AR30&gt;='mean-3Sigma'!AR27, Measurements!AR30&lt;='mean+3Sigma'!AR27)</f>
        <v>1</v>
      </c>
      <c r="AS30" s="16">
        <f>--AND(Measurements!AS30&gt;='mean-3Sigma'!AS27, Measurements!AS30&lt;='mean+3Sigma'!AS27)</f>
        <v>0</v>
      </c>
      <c r="AT30" s="16">
        <f>--AND(Measurements!AT30&gt;='mean-3Sigma'!AT27, Measurements!AT30&lt;='mean+3Sigma'!AT27)</f>
        <v>1</v>
      </c>
      <c r="AU30" s="16">
        <f>--AND(Measurements!AU30&gt;='mean-3Sigma'!AU27, Measurements!AU30&lt;='mean+3Sigma'!AU27)</f>
        <v>0</v>
      </c>
      <c r="AV30" s="16">
        <f>--AND(Measurements!AV30&gt;='mean-3Sigma'!AV27, Measurements!AV30&lt;='mean+3Sigma'!AV27)</f>
        <v>1</v>
      </c>
      <c r="AW30" s="16">
        <f>--AND(Measurements!AW30&gt;='mean-3Sigma'!AW27, Measurements!AW30&lt;='mean+3Sigma'!AW27)</f>
        <v>1</v>
      </c>
      <c r="AX30" s="16">
        <f>--AND(Measurements!AX30&gt;='mean-3Sigma'!AX27, Measurements!AX30&lt;='mean+3Sigma'!AX27)</f>
        <v>1</v>
      </c>
    </row>
    <row r="31" spans="1:50">
      <c r="A31">
        <v>525</v>
      </c>
      <c r="B31" s="16">
        <f>--AND(Measurements!B31&gt;='mean-3Sigma'!B28, Measurements!B31&lt;='mean+3Sigma'!B28)</f>
        <v>1</v>
      </c>
      <c r="C31" s="16">
        <f>--AND(Measurements!C31&gt;='mean-3Sigma'!C28, Measurements!C31&lt;='mean+3Sigma'!C28)</f>
        <v>1</v>
      </c>
      <c r="D31" s="16">
        <f>--AND(Measurements!D31&gt;='mean-3Sigma'!D28, Measurements!D31&lt;='mean+3Sigma'!D28)</f>
        <v>1</v>
      </c>
      <c r="E31" s="16">
        <f>--AND(Measurements!E31&gt;='mean-3Sigma'!E28, Measurements!E31&lt;='mean+3Sigma'!E28)</f>
        <v>1</v>
      </c>
      <c r="F31" s="16">
        <f>--AND(Measurements!F31&gt;='mean-3Sigma'!F28, Measurements!F31&lt;='mean+3Sigma'!F28)</f>
        <v>1</v>
      </c>
      <c r="G31" s="16">
        <f>--AND(Measurements!G31&gt;='mean-3Sigma'!G28, Measurements!G31&lt;='mean+3Sigma'!G28)</f>
        <v>1</v>
      </c>
      <c r="H31" s="16">
        <f>--AND(Measurements!H31&gt;='mean-3Sigma'!H28, Measurements!H31&lt;='mean+3Sigma'!H28)</f>
        <v>1</v>
      </c>
      <c r="I31" s="16">
        <f>--AND(Measurements!I31&gt;='mean-3Sigma'!I28, Measurements!I31&lt;='mean+3Sigma'!I28)</f>
        <v>1</v>
      </c>
      <c r="J31" s="16">
        <f>--AND(Measurements!J31&gt;='mean-3Sigma'!J28, Measurements!J31&lt;='mean+3Sigma'!J28)</f>
        <v>1</v>
      </c>
      <c r="K31" s="16">
        <f>--AND(Measurements!K31&gt;='mean-3Sigma'!K28, Measurements!K31&lt;='mean+3Sigma'!K28)</f>
        <v>1</v>
      </c>
      <c r="L31" s="16">
        <f>--AND(Measurements!L31&gt;='mean-3Sigma'!L28, Measurements!L31&lt;='mean+3Sigma'!L28)</f>
        <v>1</v>
      </c>
      <c r="M31" s="16">
        <f>--AND(Measurements!M31&gt;='mean-3Sigma'!M28, Measurements!M31&lt;='mean+3Sigma'!M28)</f>
        <v>1</v>
      </c>
      <c r="N31" s="16">
        <f>--AND(Measurements!N31&gt;='mean-3Sigma'!N28, Measurements!N31&lt;='mean+3Sigma'!N28)</f>
        <v>1</v>
      </c>
      <c r="O31" s="16">
        <f>--AND(Measurements!O31&gt;='mean-3Sigma'!O28, Measurements!O31&lt;='mean+3Sigma'!O28)</f>
        <v>1</v>
      </c>
      <c r="P31" s="16">
        <f>--AND(Measurements!P31&gt;='mean-3Sigma'!P28, Measurements!P31&lt;='mean+3Sigma'!P28)</f>
        <v>1</v>
      </c>
      <c r="Q31" s="16">
        <f>--AND(Measurements!Q31&gt;='mean-3Sigma'!Q28, Measurements!Q31&lt;='mean+3Sigma'!Q28)</f>
        <v>1</v>
      </c>
      <c r="R31" s="16">
        <f>--AND(Measurements!R31&gt;='mean-3Sigma'!R28, Measurements!R31&lt;='mean+3Sigma'!R28)</f>
        <v>1</v>
      </c>
      <c r="S31" s="16">
        <f>--AND(Measurements!S31&gt;='mean-3Sigma'!S28, Measurements!S31&lt;='mean+3Sigma'!S28)</f>
        <v>1</v>
      </c>
      <c r="T31" s="16">
        <f>--AND(Measurements!T31&gt;='mean-3Sigma'!T28, Measurements!T31&lt;='mean+3Sigma'!T28)</f>
        <v>1</v>
      </c>
      <c r="U31" s="16">
        <f>--AND(Measurements!U31&gt;='mean-3Sigma'!U28, Measurements!U31&lt;='mean+3Sigma'!U28)</f>
        <v>1</v>
      </c>
      <c r="V31" s="16">
        <f>--AND(Measurements!V31&gt;='mean-3Sigma'!V28, Measurements!V31&lt;='mean+3Sigma'!V28)</f>
        <v>1</v>
      </c>
      <c r="W31" s="16">
        <f>--AND(Measurements!W31&gt;='mean-3Sigma'!W28, Measurements!W31&lt;='mean+3Sigma'!W28)</f>
        <v>1</v>
      </c>
      <c r="X31" s="16">
        <f>--AND(Measurements!X31&gt;='mean-3Sigma'!X28, Measurements!X31&lt;='mean+3Sigma'!X28)</f>
        <v>1</v>
      </c>
      <c r="Y31" s="16">
        <f>--AND(Measurements!Y31&gt;='mean-3Sigma'!Y28, Measurements!Y31&lt;='mean+3Sigma'!Y28)</f>
        <v>1</v>
      </c>
      <c r="Z31" s="16">
        <f>--AND(Measurements!Z31&gt;='mean-3Sigma'!Z28, Measurements!Z31&lt;='mean+3Sigma'!Z28)</f>
        <v>1</v>
      </c>
      <c r="AA31" s="16">
        <f>--AND(Measurements!AA31&gt;='mean-3Sigma'!AA28, Measurements!AA31&lt;='mean+3Sigma'!AA28)</f>
        <v>1</v>
      </c>
      <c r="AB31" s="16">
        <f>--AND(Measurements!AB31&gt;='mean-3Sigma'!AB28, Measurements!AB31&lt;='mean+3Sigma'!AB28)</f>
        <v>1</v>
      </c>
      <c r="AC31" s="16">
        <f>--AND(Measurements!AC31&gt;='mean-3Sigma'!AC28, Measurements!AC31&lt;='mean+3Sigma'!AC28)</f>
        <v>1</v>
      </c>
      <c r="AD31" s="16">
        <f>--AND(Measurements!AD31&gt;='mean-3Sigma'!AD28, Measurements!AD31&lt;='mean+3Sigma'!AD28)</f>
        <v>1</v>
      </c>
      <c r="AE31" s="16">
        <f>--AND(Measurements!AE31&gt;='mean-3Sigma'!AE28, Measurements!AE31&lt;='mean+3Sigma'!AE28)</f>
        <v>1</v>
      </c>
      <c r="AF31" s="16">
        <f>--AND(Measurements!AF31&gt;='mean-3Sigma'!AF28, Measurements!AF31&lt;='mean+3Sigma'!AF28)</f>
        <v>1</v>
      </c>
      <c r="AG31" s="16">
        <f>--AND(Measurements!AG31&gt;='mean-3Sigma'!AG28, Measurements!AG31&lt;='mean+3Sigma'!AG28)</f>
        <v>1</v>
      </c>
      <c r="AH31" s="16">
        <f>--AND(Measurements!AH31&gt;='mean-3Sigma'!AH28, Measurements!AH31&lt;='mean+3Sigma'!AH28)</f>
        <v>1</v>
      </c>
      <c r="AI31" s="16">
        <f>--AND(Measurements!AI31&gt;='mean-3Sigma'!AI28, Measurements!AI31&lt;='mean+3Sigma'!AI28)</f>
        <v>1</v>
      </c>
      <c r="AJ31" s="16">
        <f>--AND(Measurements!AJ31&gt;='mean-3Sigma'!AJ28, Measurements!AJ31&lt;='mean+3Sigma'!AJ28)</f>
        <v>1</v>
      </c>
      <c r="AK31" s="16">
        <f>--AND(Measurements!AK31&gt;='mean-3Sigma'!AK28, Measurements!AK31&lt;='mean+3Sigma'!AK28)</f>
        <v>0</v>
      </c>
      <c r="AL31" s="16">
        <f>--AND(Measurements!AL31&gt;='mean-3Sigma'!AL28, Measurements!AL31&lt;='mean+3Sigma'!AL28)</f>
        <v>0</v>
      </c>
      <c r="AM31" s="16">
        <f>--AND(Measurements!AM31&gt;='mean-3Sigma'!AM28, Measurements!AM31&lt;='mean+3Sigma'!AM28)</f>
        <v>1</v>
      </c>
      <c r="AN31" s="16">
        <f>--AND(Measurements!AN31&gt;='mean-3Sigma'!AN28, Measurements!AN31&lt;='mean+3Sigma'!AN28)</f>
        <v>1</v>
      </c>
      <c r="AO31" s="16">
        <f>--AND(Measurements!AO31&gt;='mean-3Sigma'!AO28, Measurements!AO31&lt;='mean+3Sigma'!AO28)</f>
        <v>1</v>
      </c>
      <c r="AP31" s="16">
        <f>--AND(Measurements!AP31&gt;='mean-3Sigma'!AP28, Measurements!AP31&lt;='mean+3Sigma'!AP28)</f>
        <v>1</v>
      </c>
      <c r="AQ31" s="16">
        <f>--AND(Measurements!AQ31&gt;='mean-3Sigma'!AQ28, Measurements!AQ31&lt;='mean+3Sigma'!AQ28)</f>
        <v>1</v>
      </c>
      <c r="AR31" s="16">
        <f>--AND(Measurements!AR31&gt;='mean-3Sigma'!AR28, Measurements!AR31&lt;='mean+3Sigma'!AR28)</f>
        <v>1</v>
      </c>
      <c r="AS31" s="16">
        <f>--AND(Measurements!AS31&gt;='mean-3Sigma'!AS28, Measurements!AS31&lt;='mean+3Sigma'!AS28)</f>
        <v>0</v>
      </c>
      <c r="AT31" s="16">
        <f>--AND(Measurements!AT31&gt;='mean-3Sigma'!AT28, Measurements!AT31&lt;='mean+3Sigma'!AT28)</f>
        <v>1</v>
      </c>
      <c r="AU31" s="16">
        <f>--AND(Measurements!AU31&gt;='mean-3Sigma'!AU28, Measurements!AU31&lt;='mean+3Sigma'!AU28)</f>
        <v>0</v>
      </c>
      <c r="AV31" s="16">
        <f>--AND(Measurements!AV31&gt;='mean-3Sigma'!AV28, Measurements!AV31&lt;='mean+3Sigma'!AV28)</f>
        <v>1</v>
      </c>
      <c r="AW31" s="16">
        <f>--AND(Measurements!AW31&gt;='mean-3Sigma'!AW28, Measurements!AW31&lt;='mean+3Sigma'!AW28)</f>
        <v>1</v>
      </c>
      <c r="AX31" s="16">
        <f>--AND(Measurements!AX31&gt;='mean-3Sigma'!AX28, Measurements!AX31&lt;='mean+3Sigma'!AX28)</f>
        <v>1</v>
      </c>
    </row>
    <row r="32" spans="1:50">
      <c r="A32">
        <v>525</v>
      </c>
      <c r="B32" s="16">
        <f>--AND(Measurements!B32&gt;='mean-3Sigma'!B29, Measurements!B32&lt;='mean+3Sigma'!B29)</f>
        <v>1</v>
      </c>
      <c r="C32" s="16">
        <f>--AND(Measurements!C32&gt;='mean-3Sigma'!C29, Measurements!C32&lt;='mean+3Sigma'!C29)</f>
        <v>1</v>
      </c>
      <c r="D32" s="16">
        <f>--AND(Measurements!D32&gt;='mean-3Sigma'!D29, Measurements!D32&lt;='mean+3Sigma'!D29)</f>
        <v>1</v>
      </c>
      <c r="E32" s="16">
        <f>--AND(Measurements!E32&gt;='mean-3Sigma'!E29, Measurements!E32&lt;='mean+3Sigma'!E29)</f>
        <v>1</v>
      </c>
      <c r="F32" s="16">
        <f>--AND(Measurements!F32&gt;='mean-3Sigma'!F29, Measurements!F32&lt;='mean+3Sigma'!F29)</f>
        <v>1</v>
      </c>
      <c r="G32" s="16">
        <f>--AND(Measurements!G32&gt;='mean-3Sigma'!G29, Measurements!G32&lt;='mean+3Sigma'!G29)</f>
        <v>1</v>
      </c>
      <c r="H32" s="16">
        <f>--AND(Measurements!H32&gt;='mean-3Sigma'!H29, Measurements!H32&lt;='mean+3Sigma'!H29)</f>
        <v>1</v>
      </c>
      <c r="I32" s="16">
        <f>--AND(Measurements!I32&gt;='mean-3Sigma'!I29, Measurements!I32&lt;='mean+3Sigma'!I29)</f>
        <v>1</v>
      </c>
      <c r="J32" s="16">
        <f>--AND(Measurements!J32&gt;='mean-3Sigma'!J29, Measurements!J32&lt;='mean+3Sigma'!J29)</f>
        <v>1</v>
      </c>
      <c r="K32" s="16">
        <f>--AND(Measurements!K32&gt;='mean-3Sigma'!K29, Measurements!K32&lt;='mean+3Sigma'!K29)</f>
        <v>1</v>
      </c>
      <c r="L32" s="16">
        <f>--AND(Measurements!L32&gt;='mean-3Sigma'!L29, Measurements!L32&lt;='mean+3Sigma'!L29)</f>
        <v>1</v>
      </c>
      <c r="M32" s="16">
        <f>--AND(Measurements!M32&gt;='mean-3Sigma'!M29, Measurements!M32&lt;='mean+3Sigma'!M29)</f>
        <v>1</v>
      </c>
      <c r="N32" s="16">
        <f>--AND(Measurements!N32&gt;='mean-3Sigma'!N29, Measurements!N32&lt;='mean+3Sigma'!N29)</f>
        <v>1</v>
      </c>
      <c r="O32" s="16">
        <f>--AND(Measurements!O32&gt;='mean-3Sigma'!O29, Measurements!O32&lt;='mean+3Sigma'!O29)</f>
        <v>1</v>
      </c>
      <c r="P32" s="16">
        <f>--AND(Measurements!P32&gt;='mean-3Sigma'!P29, Measurements!P32&lt;='mean+3Sigma'!P29)</f>
        <v>1</v>
      </c>
      <c r="Q32" s="16">
        <f>--AND(Measurements!Q32&gt;='mean-3Sigma'!Q29, Measurements!Q32&lt;='mean+3Sigma'!Q29)</f>
        <v>1</v>
      </c>
      <c r="R32" s="16">
        <f>--AND(Measurements!R32&gt;='mean-3Sigma'!R29, Measurements!R32&lt;='mean+3Sigma'!R29)</f>
        <v>1</v>
      </c>
      <c r="S32" s="16">
        <f>--AND(Measurements!S32&gt;='mean-3Sigma'!S29, Measurements!S32&lt;='mean+3Sigma'!S29)</f>
        <v>1</v>
      </c>
      <c r="T32" s="16">
        <f>--AND(Measurements!T32&gt;='mean-3Sigma'!T29, Measurements!T32&lt;='mean+3Sigma'!T29)</f>
        <v>1</v>
      </c>
      <c r="U32" s="16">
        <f>--AND(Measurements!U32&gt;='mean-3Sigma'!U29, Measurements!U32&lt;='mean+3Sigma'!U29)</f>
        <v>1</v>
      </c>
      <c r="V32" s="16">
        <f>--AND(Measurements!V32&gt;='mean-3Sigma'!V29, Measurements!V32&lt;='mean+3Sigma'!V29)</f>
        <v>1</v>
      </c>
      <c r="W32" s="16">
        <f>--AND(Measurements!W32&gt;='mean-3Sigma'!W29, Measurements!W32&lt;='mean+3Sigma'!W29)</f>
        <v>1</v>
      </c>
      <c r="X32" s="16">
        <f>--AND(Measurements!X32&gt;='mean-3Sigma'!X29, Measurements!X32&lt;='mean+3Sigma'!X29)</f>
        <v>1</v>
      </c>
      <c r="Y32" s="16">
        <f>--AND(Measurements!Y32&gt;='mean-3Sigma'!Y29, Measurements!Y32&lt;='mean+3Sigma'!Y29)</f>
        <v>1</v>
      </c>
      <c r="Z32" s="16">
        <f>--AND(Measurements!Z32&gt;='mean-3Sigma'!Z29, Measurements!Z32&lt;='mean+3Sigma'!Z29)</f>
        <v>1</v>
      </c>
      <c r="AA32" s="16">
        <f>--AND(Measurements!AA32&gt;='mean-3Sigma'!AA29, Measurements!AA32&lt;='mean+3Sigma'!AA29)</f>
        <v>1</v>
      </c>
      <c r="AB32" s="16">
        <f>--AND(Measurements!AB32&gt;='mean-3Sigma'!AB29, Measurements!AB32&lt;='mean+3Sigma'!AB29)</f>
        <v>1</v>
      </c>
      <c r="AC32" s="16">
        <f>--AND(Measurements!AC32&gt;='mean-3Sigma'!AC29, Measurements!AC32&lt;='mean+3Sigma'!AC29)</f>
        <v>1</v>
      </c>
      <c r="AD32" s="16">
        <f>--AND(Measurements!AD32&gt;='mean-3Sigma'!AD29, Measurements!AD32&lt;='mean+3Sigma'!AD29)</f>
        <v>1</v>
      </c>
      <c r="AE32" s="16">
        <f>--AND(Measurements!AE32&gt;='mean-3Sigma'!AE29, Measurements!AE32&lt;='mean+3Sigma'!AE29)</f>
        <v>1</v>
      </c>
      <c r="AF32" s="16">
        <f>--AND(Measurements!AF32&gt;='mean-3Sigma'!AF29, Measurements!AF32&lt;='mean+3Sigma'!AF29)</f>
        <v>1</v>
      </c>
      <c r="AG32" s="16">
        <f>--AND(Measurements!AG32&gt;='mean-3Sigma'!AG29, Measurements!AG32&lt;='mean+3Sigma'!AG29)</f>
        <v>1</v>
      </c>
      <c r="AH32" s="16">
        <f>--AND(Measurements!AH32&gt;='mean-3Sigma'!AH29, Measurements!AH32&lt;='mean+3Sigma'!AH29)</f>
        <v>1</v>
      </c>
      <c r="AI32" s="16">
        <f>--AND(Measurements!AI32&gt;='mean-3Sigma'!AI29, Measurements!AI32&lt;='mean+3Sigma'!AI29)</f>
        <v>1</v>
      </c>
      <c r="AJ32" s="16">
        <f>--AND(Measurements!AJ32&gt;='mean-3Sigma'!AJ29, Measurements!AJ32&lt;='mean+3Sigma'!AJ29)</f>
        <v>1</v>
      </c>
      <c r="AK32" s="16">
        <f>--AND(Measurements!AK32&gt;='mean-3Sigma'!AK29, Measurements!AK32&lt;='mean+3Sigma'!AK29)</f>
        <v>0</v>
      </c>
      <c r="AL32" s="16">
        <f>--AND(Measurements!AL32&gt;='mean-3Sigma'!AL29, Measurements!AL32&lt;='mean+3Sigma'!AL29)</f>
        <v>0</v>
      </c>
      <c r="AM32" s="16">
        <f>--AND(Measurements!AM32&gt;='mean-3Sigma'!AM29, Measurements!AM32&lt;='mean+3Sigma'!AM29)</f>
        <v>1</v>
      </c>
      <c r="AN32" s="16">
        <f>--AND(Measurements!AN32&gt;='mean-3Sigma'!AN29, Measurements!AN32&lt;='mean+3Sigma'!AN29)</f>
        <v>1</v>
      </c>
      <c r="AO32" s="16">
        <f>--AND(Measurements!AO32&gt;='mean-3Sigma'!AO29, Measurements!AO32&lt;='mean+3Sigma'!AO29)</f>
        <v>1</v>
      </c>
      <c r="AP32" s="16">
        <f>--AND(Measurements!AP32&gt;='mean-3Sigma'!AP29, Measurements!AP32&lt;='mean+3Sigma'!AP29)</f>
        <v>1</v>
      </c>
      <c r="AQ32" s="16">
        <f>--AND(Measurements!AQ32&gt;='mean-3Sigma'!AQ29, Measurements!AQ32&lt;='mean+3Sigma'!AQ29)</f>
        <v>1</v>
      </c>
      <c r="AR32" s="16">
        <f>--AND(Measurements!AR32&gt;='mean-3Sigma'!AR29, Measurements!AR32&lt;='mean+3Sigma'!AR29)</f>
        <v>1</v>
      </c>
      <c r="AS32" s="16">
        <f>--AND(Measurements!AS32&gt;='mean-3Sigma'!AS29, Measurements!AS32&lt;='mean+3Sigma'!AS29)</f>
        <v>0</v>
      </c>
      <c r="AT32" s="16">
        <f>--AND(Measurements!AT32&gt;='mean-3Sigma'!AT29, Measurements!AT32&lt;='mean+3Sigma'!AT29)</f>
        <v>1</v>
      </c>
      <c r="AU32" s="16">
        <f>--AND(Measurements!AU32&gt;='mean-3Sigma'!AU29, Measurements!AU32&lt;='mean+3Sigma'!AU29)</f>
        <v>0</v>
      </c>
      <c r="AV32" s="16">
        <f>--AND(Measurements!AV32&gt;='mean-3Sigma'!AV29, Measurements!AV32&lt;='mean+3Sigma'!AV29)</f>
        <v>1</v>
      </c>
      <c r="AW32" s="16">
        <f>--AND(Measurements!AW32&gt;='mean-3Sigma'!AW29, Measurements!AW32&lt;='mean+3Sigma'!AW29)</f>
        <v>1</v>
      </c>
      <c r="AX32" s="16">
        <f>--AND(Measurements!AX32&gt;='mean-3Sigma'!AX29, Measurements!AX32&lt;='mean+3Sigma'!AX29)</f>
        <v>1</v>
      </c>
    </row>
  </sheetData>
  <conditionalFormatting sqref="A1:XF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R25"/>
  <sheetViews>
    <sheetView zoomScale="60" zoomScaleNormal="60" workbookViewId="0">
      <selection activeCell="M28" sqref="M28"/>
    </sheetView>
  </sheetViews>
  <sheetFormatPr defaultRowHeight="14.45"/>
  <cols>
    <col min="4" max="4" width="30.85546875" customWidth="1"/>
    <col min="5" max="5" width="87.5703125" bestFit="1" customWidth="1"/>
    <col min="6" max="6" width="87" bestFit="1" customWidth="1"/>
    <col min="7" max="7" width="72.140625" bestFit="1" customWidth="1"/>
  </cols>
  <sheetData>
    <row r="1" spans="1:18">
      <c r="A1" s="18"/>
      <c r="B1" s="19"/>
      <c r="C1" s="19"/>
      <c r="D1" s="20"/>
      <c r="E1" s="2"/>
      <c r="F1" s="2"/>
      <c r="G1" s="2"/>
    </row>
    <row r="2" spans="1:18">
      <c r="A2" s="17"/>
      <c r="B2" s="19"/>
      <c r="C2" s="19"/>
      <c r="D2" s="20"/>
      <c r="E2" s="8"/>
      <c r="F2" s="8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>
      <c r="A3" s="17"/>
      <c r="B3" s="19"/>
      <c r="C3" s="19"/>
      <c r="D3" s="20"/>
      <c r="E3" s="8"/>
      <c r="F3" s="8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>
      <c r="A4" s="17"/>
      <c r="B4" s="19"/>
      <c r="C4" s="19"/>
      <c r="D4" s="20"/>
      <c r="E4" s="8"/>
      <c r="F4" s="8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>
      <c r="A5" s="17"/>
      <c r="B5" s="19"/>
      <c r="C5" s="19"/>
      <c r="D5" s="20"/>
      <c r="E5" s="8"/>
      <c r="F5" s="8"/>
      <c r="G5" s="8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>
      <c r="A6" s="17"/>
      <c r="B6" s="19"/>
      <c r="C6" s="19"/>
      <c r="D6" s="20"/>
      <c r="E6" s="8"/>
      <c r="F6" s="8"/>
      <c r="G6" s="8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>
      <c r="A7" s="17"/>
      <c r="B7" s="19"/>
      <c r="C7" s="19"/>
      <c r="D7" s="20"/>
      <c r="E7" s="8"/>
      <c r="F7" s="8"/>
      <c r="G7" s="8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 ht="26.45" customHeight="1">
      <c r="A8" s="17"/>
      <c r="B8" s="19"/>
      <c r="C8" s="19"/>
      <c r="D8" s="20"/>
      <c r="E8" s="9"/>
      <c r="F8" s="8"/>
      <c r="G8" s="8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ht="21.95" customHeight="1">
      <c r="A9" s="17"/>
      <c r="B9" s="19"/>
      <c r="C9" s="19"/>
      <c r="D9" s="20"/>
      <c r="E9" s="9"/>
      <c r="F9" s="8"/>
      <c r="G9" s="8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ht="21.95" customHeight="1">
      <c r="A10" s="17"/>
      <c r="B10" s="19"/>
      <c r="C10" s="19"/>
      <c r="D10" s="20"/>
      <c r="E10" s="9"/>
      <c r="F10" s="8"/>
      <c r="G10" s="8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ht="21.95" customHeight="1">
      <c r="A11" s="17"/>
      <c r="B11" s="19"/>
      <c r="C11" s="19"/>
      <c r="D11" s="20"/>
      <c r="E11" s="9"/>
      <c r="F11" s="8"/>
      <c r="G11" s="8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ht="21.95" customHeight="1">
      <c r="A12" s="17"/>
      <c r="B12" s="19"/>
      <c r="C12" s="19"/>
      <c r="D12" s="20"/>
      <c r="E12" s="9"/>
      <c r="F12" s="8"/>
      <c r="G12" s="8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 ht="21.95" customHeight="1">
      <c r="A13" s="17"/>
      <c r="B13" s="19"/>
      <c r="C13" s="19"/>
      <c r="D13" s="20"/>
      <c r="E13" s="9"/>
      <c r="F13" s="8"/>
      <c r="G13" s="8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ht="21.95" customHeight="1">
      <c r="A14" s="17"/>
      <c r="B14" s="19"/>
      <c r="C14" s="19"/>
      <c r="D14" s="20"/>
      <c r="E14" s="9"/>
      <c r="F14" s="8"/>
      <c r="G14" s="8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 ht="21.95" customHeight="1">
      <c r="A15" s="17"/>
      <c r="B15" s="19"/>
      <c r="C15" s="19"/>
      <c r="D15" s="20"/>
      <c r="E15" s="9"/>
      <c r="F15" s="8"/>
      <c r="G15" s="8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18">
      <c r="A16" s="17"/>
      <c r="B16" s="19"/>
      <c r="C16" s="19"/>
      <c r="D16" s="20"/>
      <c r="E16" s="8"/>
      <c r="F16" s="8"/>
      <c r="G16" s="8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>
      <c r="A17" s="17"/>
      <c r="B17" s="19"/>
      <c r="C17" s="19"/>
      <c r="D17" s="20"/>
      <c r="E17" s="8"/>
      <c r="F17" s="8"/>
      <c r="G17" s="8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>
      <c r="A18" s="17"/>
      <c r="B18" s="19"/>
      <c r="C18" s="19"/>
      <c r="D18" s="20"/>
      <c r="E18" s="8"/>
      <c r="F18" s="8"/>
      <c r="G18" s="8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1:18">
      <c r="A19" s="17"/>
      <c r="B19" s="19"/>
      <c r="C19" s="19"/>
      <c r="D19" s="20"/>
      <c r="E19" s="8"/>
      <c r="F19" s="8"/>
      <c r="G19" s="8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1:18">
      <c r="A20" s="17"/>
      <c r="B20" s="19"/>
      <c r="C20" s="19"/>
      <c r="D20" s="20"/>
      <c r="E20" s="8"/>
      <c r="F20" s="8"/>
      <c r="G20" s="8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>
      <c r="A21" s="17"/>
      <c r="B21" s="19"/>
      <c r="C21" s="19"/>
      <c r="D21" s="20"/>
      <c r="E21" s="8"/>
      <c r="F21" s="8"/>
      <c r="G21" s="8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1:18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>
      <c r="A23" s="7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1:18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1:18">
      <c r="A25" s="7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</sheetData>
  <mergeCells count="21">
    <mergeCell ref="A21:D21"/>
    <mergeCell ref="A2:D2"/>
    <mergeCell ref="A14:D14"/>
    <mergeCell ref="A1:D1"/>
    <mergeCell ref="A6:D6"/>
    <mergeCell ref="A7:D7"/>
    <mergeCell ref="A16:D16"/>
    <mergeCell ref="A18:D18"/>
    <mergeCell ref="A12:D12"/>
    <mergeCell ref="A3:D3"/>
    <mergeCell ref="A5:D5"/>
    <mergeCell ref="A17:D17"/>
    <mergeCell ref="A8:D8"/>
    <mergeCell ref="A4:D4"/>
    <mergeCell ref="A20:D20"/>
    <mergeCell ref="A19:D19"/>
    <mergeCell ref="A10:D10"/>
    <mergeCell ref="A13:D13"/>
    <mergeCell ref="A9:D9"/>
    <mergeCell ref="A15:D15"/>
    <mergeCell ref="A11:D11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X29"/>
  <sheetViews>
    <sheetView tabSelected="1" topLeftCell="AH1" workbookViewId="0">
      <selection activeCell="AU32" sqref="AU32"/>
    </sheetView>
  </sheetViews>
  <sheetFormatPr defaultRowHeight="14.45"/>
  <cols>
    <col min="35" max="35" width="15.85546875" bestFit="1" customWidth="1"/>
  </cols>
  <sheetData>
    <row r="1" spans="1:50">
      <c r="A1" s="15" t="s">
        <v>19</v>
      </c>
      <c r="B1" s="15" t="s">
        <v>20</v>
      </c>
      <c r="C1" s="15" t="s">
        <v>21</v>
      </c>
      <c r="D1" s="15" t="s">
        <v>22</v>
      </c>
      <c r="E1" s="15" t="s">
        <v>23</v>
      </c>
      <c r="F1" s="15" t="s">
        <v>24</v>
      </c>
      <c r="G1" s="15" t="s">
        <v>25</v>
      </c>
      <c r="H1" s="15" t="s">
        <v>26</v>
      </c>
      <c r="I1" s="15" t="s">
        <v>27</v>
      </c>
      <c r="J1" s="15" t="s">
        <v>28</v>
      </c>
      <c r="K1" s="15" t="s">
        <v>29</v>
      </c>
      <c r="L1" s="15" t="s">
        <v>30</v>
      </c>
      <c r="M1" s="15" t="s">
        <v>31</v>
      </c>
      <c r="N1" s="15" t="s">
        <v>32</v>
      </c>
      <c r="O1" s="15" t="s">
        <v>33</v>
      </c>
      <c r="P1" s="15" t="s">
        <v>34</v>
      </c>
      <c r="Q1" s="15" t="s">
        <v>35</v>
      </c>
      <c r="R1" s="15" t="s">
        <v>36</v>
      </c>
      <c r="S1" s="15" t="s">
        <v>37</v>
      </c>
      <c r="T1" s="15" t="s">
        <v>38</v>
      </c>
      <c r="U1" s="15" t="s">
        <v>39</v>
      </c>
      <c r="V1" s="15" t="s">
        <v>40</v>
      </c>
      <c r="W1" s="15" t="s">
        <v>41</v>
      </c>
      <c r="X1" s="15" t="s">
        <v>42</v>
      </c>
      <c r="Y1" s="15" t="s">
        <v>43</v>
      </c>
      <c r="Z1" s="15" t="s">
        <v>44</v>
      </c>
      <c r="AA1" s="15" t="s">
        <v>45</v>
      </c>
      <c r="AB1" s="15" t="s">
        <v>46</v>
      </c>
      <c r="AC1" s="15" t="s">
        <v>47</v>
      </c>
      <c r="AD1" s="15" t="s">
        <v>48</v>
      </c>
      <c r="AE1" s="15" t="s">
        <v>49</v>
      </c>
      <c r="AF1" s="15" t="s">
        <v>50</v>
      </c>
      <c r="AG1" s="15" t="s">
        <v>51</v>
      </c>
      <c r="AH1" s="15" t="s">
        <v>52</v>
      </c>
      <c r="AI1" s="15" t="s">
        <v>53</v>
      </c>
      <c r="AJ1" s="15" t="s">
        <v>54</v>
      </c>
      <c r="AK1" s="15" t="s">
        <v>55</v>
      </c>
      <c r="AL1" s="15" t="s">
        <v>56</v>
      </c>
      <c r="AM1" s="15" t="s">
        <v>57</v>
      </c>
      <c r="AN1" s="15" t="s">
        <v>58</v>
      </c>
      <c r="AO1" s="15" t="s">
        <v>59</v>
      </c>
      <c r="AP1" s="15" t="s">
        <v>60</v>
      </c>
      <c r="AQ1" s="15" t="s">
        <v>61</v>
      </c>
      <c r="AR1" s="15" t="s">
        <v>62</v>
      </c>
      <c r="AS1" s="15" t="s">
        <v>63</v>
      </c>
      <c r="AT1" s="15" t="s">
        <v>64</v>
      </c>
      <c r="AU1" s="15" t="s">
        <v>65</v>
      </c>
      <c r="AV1" s="15" t="s">
        <v>66</v>
      </c>
      <c r="AW1" s="15" t="s">
        <v>67</v>
      </c>
      <c r="AX1" s="15" t="s">
        <v>68</v>
      </c>
    </row>
    <row r="2" spans="1:50">
      <c r="A2">
        <v>15</v>
      </c>
      <c r="B2">
        <v>1</v>
      </c>
      <c r="C2">
        <v>0</v>
      </c>
      <c r="D2">
        <v>17.126749646201219</v>
      </c>
      <c r="E2">
        <v>17.09308771751185</v>
      </c>
      <c r="F2">
        <v>17.155108409293991</v>
      </c>
      <c r="G2">
        <v>17.123876555663578</v>
      </c>
      <c r="H2">
        <v>17.136379140797889</v>
      </c>
      <c r="I2">
        <v>17.09235878701438</v>
      </c>
      <c r="J2">
        <v>17.169573532956129</v>
      </c>
      <c r="K2">
        <v>17.150590352205612</v>
      </c>
      <c r="L2">
        <v>16.94652394528757</v>
      </c>
      <c r="M2">
        <v>20.158553077478981</v>
      </c>
      <c r="N2">
        <v>20.099519635557211</v>
      </c>
      <c r="O2">
        <v>31.48634392034905</v>
      </c>
      <c r="P2">
        <v>31.77196921616704</v>
      </c>
      <c r="Q2">
        <v>29.643045114815951</v>
      </c>
      <c r="R2">
        <v>29.839125631556069</v>
      </c>
      <c r="S2">
        <v>13.525120456409651</v>
      </c>
      <c r="T2">
        <v>-6972.3059926352134</v>
      </c>
      <c r="U2">
        <v>30.424602699226561</v>
      </c>
      <c r="V2">
        <v>30.59923855054809</v>
      </c>
      <c r="W2">
        <v>28.930039499334718</v>
      </c>
      <c r="X2">
        <v>-2008.069845839603</v>
      </c>
      <c r="Y2">
        <v>21.52351252689671</v>
      </c>
      <c r="Z2">
        <v>17.090816392003809</v>
      </c>
      <c r="AA2">
        <v>17.12591575464408</v>
      </c>
      <c r="AB2">
        <v>17.077946695482421</v>
      </c>
      <c r="AC2">
        <v>17.16031008856373</v>
      </c>
      <c r="AD2">
        <v>20.13175122408915</v>
      </c>
      <c r="AE2">
        <v>29.76910344344569</v>
      </c>
      <c r="AF2">
        <v>21.517516368970401</v>
      </c>
      <c r="AG2">
        <v>30.48207534019167</v>
      </c>
      <c r="AH2">
        <v>31.641661892030761</v>
      </c>
      <c r="AI2">
        <v>0.4</v>
      </c>
      <c r="AJ2">
        <v>1.2043543136385599</v>
      </c>
      <c r="AK2">
        <v>-2033.486205652694</v>
      </c>
      <c r="AL2">
        <v>-2038.300861852633</v>
      </c>
      <c r="AM2">
        <v>790.14857509183548</v>
      </c>
      <c r="AN2">
        <v>-451.40372249556049</v>
      </c>
      <c r="AO2">
        <v>3.7158899390836901</v>
      </c>
      <c r="AP2">
        <v>3.730750870332439</v>
      </c>
      <c r="AQ2">
        <v>5.183827712967938</v>
      </c>
      <c r="AR2">
        <v>-2826.0998071697072</v>
      </c>
      <c r="AS2">
        <v>-7.12495041576285</v>
      </c>
      <c r="AT2">
        <v>-2024.401775151086</v>
      </c>
      <c r="AU2">
        <v>503</v>
      </c>
      <c r="AV2">
        <v>15.04411054748541</v>
      </c>
      <c r="AW2">
        <v>5</v>
      </c>
      <c r="AX2">
        <v>-23.5244585258223</v>
      </c>
    </row>
    <row r="3" spans="1:50">
      <c r="A3">
        <v>75</v>
      </c>
      <c r="B3">
        <v>1</v>
      </c>
      <c r="C3">
        <v>0</v>
      </c>
      <c r="D3">
        <v>17.355872244975259</v>
      </c>
      <c r="E3">
        <v>17.327882096552099</v>
      </c>
      <c r="F3">
        <v>17.41276418058812</v>
      </c>
      <c r="G3">
        <v>17.381552479639321</v>
      </c>
      <c r="H3">
        <v>17.369785732883429</v>
      </c>
      <c r="I3">
        <v>17.338466200527559</v>
      </c>
      <c r="J3">
        <v>17.388611274122471</v>
      </c>
      <c r="K3">
        <v>17.415788378698689</v>
      </c>
      <c r="L3">
        <v>17.060326508350279</v>
      </c>
      <c r="M3">
        <v>20.740143469508471</v>
      </c>
      <c r="N3">
        <v>20.686293730807751</v>
      </c>
      <c r="O3">
        <v>31.836868171520681</v>
      </c>
      <c r="P3">
        <v>32.294083161510002</v>
      </c>
      <c r="Q3">
        <v>29.91449512738529</v>
      </c>
      <c r="R3">
        <v>30.07872920485709</v>
      </c>
      <c r="S3">
        <v>15.159279768852951</v>
      </c>
      <c r="T3">
        <v>-6927.6250437876324</v>
      </c>
      <c r="U3">
        <v>30.739786760741211</v>
      </c>
      <c r="V3">
        <v>30.898328692921162</v>
      </c>
      <c r="W3">
        <v>29.22516550789895</v>
      </c>
      <c r="X3">
        <v>-2008.644454059925</v>
      </c>
      <c r="Y3">
        <v>21.65311840923389</v>
      </c>
      <c r="Z3">
        <v>17.342915447486639</v>
      </c>
      <c r="AA3">
        <v>17.375976313523619</v>
      </c>
      <c r="AB3">
        <v>17.346550836152758</v>
      </c>
      <c r="AC3">
        <v>17.384260769720889</v>
      </c>
      <c r="AD3">
        <v>20.70922114557025</v>
      </c>
      <c r="AE3">
        <v>30.05489678801171</v>
      </c>
      <c r="AF3">
        <v>21.658739117978541</v>
      </c>
      <c r="AG3">
        <v>30.85251503503514</v>
      </c>
      <c r="AH3">
        <v>32.083026170690133</v>
      </c>
      <c r="AI3">
        <v>0.4</v>
      </c>
      <c r="AJ3">
        <v>1.089531051009659</v>
      </c>
      <c r="AK3">
        <v>10.426720093163651</v>
      </c>
      <c r="AL3">
        <v>7.914040653043755</v>
      </c>
      <c r="AM3">
        <v>1040.535331537111</v>
      </c>
      <c r="AN3">
        <v>-498.81709041519161</v>
      </c>
      <c r="AO3">
        <v>5.1297982011172714</v>
      </c>
      <c r="AP3">
        <v>5.1297982011172714</v>
      </c>
      <c r="AQ3">
        <v>5.1867505697883409</v>
      </c>
      <c r="AR3">
        <v>-2826.0332332234452</v>
      </c>
      <c r="AS3">
        <v>-7.2841300191082077</v>
      </c>
      <c r="AT3">
        <v>-2024.3813649344099</v>
      </c>
      <c r="AU3">
        <v>503</v>
      </c>
      <c r="AV3">
        <v>21</v>
      </c>
      <c r="AW3">
        <v>5</v>
      </c>
      <c r="AX3">
        <v>160</v>
      </c>
    </row>
    <row r="4" spans="1:50">
      <c r="A4">
        <v>75</v>
      </c>
      <c r="B4">
        <v>1</v>
      </c>
      <c r="C4">
        <v>0</v>
      </c>
      <c r="D4">
        <v>17.355872244975259</v>
      </c>
      <c r="E4">
        <v>17.327882096552099</v>
      </c>
      <c r="F4">
        <v>17.41276418058812</v>
      </c>
      <c r="G4">
        <v>17.386381581052341</v>
      </c>
      <c r="H4">
        <v>17.373204172194601</v>
      </c>
      <c r="I4">
        <v>17.344143544276228</v>
      </c>
      <c r="J4">
        <v>17.388611274122471</v>
      </c>
      <c r="K4">
        <v>17.415788378698689</v>
      </c>
      <c r="L4">
        <v>17.060326508350279</v>
      </c>
      <c r="M4">
        <v>20.751984580810088</v>
      </c>
      <c r="N4">
        <v>20.695188042529949</v>
      </c>
      <c r="O4">
        <v>31.835943086788301</v>
      </c>
      <c r="P4">
        <v>32.295635448290362</v>
      </c>
      <c r="Q4">
        <v>29.913131332994439</v>
      </c>
      <c r="R4">
        <v>30.073669235629779</v>
      </c>
      <c r="S4">
        <v>15.155032115691331</v>
      </c>
      <c r="T4">
        <v>-6927.6283617115232</v>
      </c>
      <c r="U4">
        <v>30.741131310216328</v>
      </c>
      <c r="V4">
        <v>30.897724451177019</v>
      </c>
      <c r="W4">
        <v>29.22510298579552</v>
      </c>
      <c r="X4">
        <v>-2008.6428654453141</v>
      </c>
      <c r="Y4">
        <v>21.660753029184459</v>
      </c>
      <c r="Z4">
        <v>17.342915447486639</v>
      </c>
      <c r="AA4">
        <v>17.375976313523619</v>
      </c>
      <c r="AB4">
        <v>17.351445139867302</v>
      </c>
      <c r="AC4">
        <v>17.384260769720889</v>
      </c>
      <c r="AD4">
        <v>20.720298403965369</v>
      </c>
      <c r="AE4">
        <v>30.053079212171252</v>
      </c>
      <c r="AF4">
        <v>21.664249356896239</v>
      </c>
      <c r="AG4">
        <v>30.850373931095799</v>
      </c>
      <c r="AH4">
        <v>32.085113674075302</v>
      </c>
      <c r="AI4">
        <v>0.4</v>
      </c>
      <c r="AJ4">
        <v>1.089531051009659</v>
      </c>
      <c r="AK4">
        <v>10.42672663266319</v>
      </c>
      <c r="AL4">
        <v>7.913331238654945</v>
      </c>
      <c r="AM4">
        <v>1040.518752420398</v>
      </c>
      <c r="AN4">
        <v>-498.83434002424428</v>
      </c>
      <c r="AO4">
        <v>5.1297982011172714</v>
      </c>
      <c r="AP4">
        <v>5.1297982011172714</v>
      </c>
      <c r="AQ4">
        <v>5.1867505697883409</v>
      </c>
      <c r="AR4">
        <v>-2826.034981452151</v>
      </c>
      <c r="AS4">
        <v>-7.2841300191082077</v>
      </c>
      <c r="AT4">
        <v>-2024.3830389008151</v>
      </c>
      <c r="AU4">
        <v>503</v>
      </c>
      <c r="AV4">
        <v>21</v>
      </c>
      <c r="AW4">
        <v>5</v>
      </c>
      <c r="AX4">
        <v>160</v>
      </c>
    </row>
    <row r="5" spans="1:50">
      <c r="A5">
        <v>75</v>
      </c>
      <c r="B5">
        <v>1</v>
      </c>
      <c r="C5">
        <v>0</v>
      </c>
      <c r="D5">
        <v>17.355872244975259</v>
      </c>
      <c r="E5">
        <v>17.327882096552099</v>
      </c>
      <c r="F5">
        <v>17.41276418058812</v>
      </c>
      <c r="G5">
        <v>17.386381581052341</v>
      </c>
      <c r="H5">
        <v>17.373204172194601</v>
      </c>
      <c r="I5">
        <v>17.3507468968279</v>
      </c>
      <c r="J5">
        <v>17.393868669805521</v>
      </c>
      <c r="K5">
        <v>17.415788378698689</v>
      </c>
      <c r="L5">
        <v>17.060326508350279</v>
      </c>
      <c r="M5">
        <v>20.742257868007279</v>
      </c>
      <c r="N5">
        <v>20.69094671731612</v>
      </c>
      <c r="O5">
        <v>31.840418942212299</v>
      </c>
      <c r="P5">
        <v>32.303040028253498</v>
      </c>
      <c r="Q5">
        <v>29.92272083989063</v>
      </c>
      <c r="R5">
        <v>30.07979652099322</v>
      </c>
      <c r="S5">
        <v>15.164607270838809</v>
      </c>
      <c r="T5">
        <v>-6927.6316797573663</v>
      </c>
      <c r="U5">
        <v>30.75210403060402</v>
      </c>
      <c r="V5">
        <v>30.91027896021156</v>
      </c>
      <c r="W5">
        <v>29.22029789560867</v>
      </c>
      <c r="X5">
        <v>-2008.641302188923</v>
      </c>
      <c r="Y5">
        <v>21.660753029184459</v>
      </c>
      <c r="Z5">
        <v>17.342915447486639</v>
      </c>
      <c r="AA5">
        <v>17.375976313523619</v>
      </c>
      <c r="AB5">
        <v>17.351445139867302</v>
      </c>
      <c r="AC5">
        <v>17.389509344070191</v>
      </c>
      <c r="AD5">
        <v>20.720545531414452</v>
      </c>
      <c r="AE5">
        <v>30.065554606450402</v>
      </c>
      <c r="AF5">
        <v>21.66933832960741</v>
      </c>
      <c r="AG5">
        <v>30.853780983628958</v>
      </c>
      <c r="AH5">
        <v>32.095397095992652</v>
      </c>
      <c r="AI5">
        <v>0.4</v>
      </c>
      <c r="AJ5">
        <v>1.089531051009659</v>
      </c>
      <c r="AK5">
        <v>10.44139075410078</v>
      </c>
      <c r="AL5">
        <v>7.9146850092157539</v>
      </c>
      <c r="AM5">
        <v>1040.748181953262</v>
      </c>
      <c r="AN5">
        <v>-499.00955898298321</v>
      </c>
      <c r="AO5">
        <v>5.1297982011172714</v>
      </c>
      <c r="AP5">
        <v>5.1297982011172714</v>
      </c>
      <c r="AQ5">
        <v>5.1867505697883409</v>
      </c>
      <c r="AR5">
        <v>-2826.034981452151</v>
      </c>
      <c r="AS5">
        <v>-7.2841300191082077</v>
      </c>
      <c r="AT5">
        <v>-2024.3830389008151</v>
      </c>
      <c r="AU5">
        <v>503</v>
      </c>
      <c r="AV5">
        <v>21</v>
      </c>
      <c r="AW5">
        <v>10</v>
      </c>
      <c r="AX5">
        <v>160</v>
      </c>
    </row>
    <row r="6" spans="1:50">
      <c r="A6">
        <v>135</v>
      </c>
      <c r="B6">
        <v>1</v>
      </c>
      <c r="C6">
        <v>0</v>
      </c>
      <c r="D6">
        <v>17.59486715964492</v>
      </c>
      <c r="E6">
        <v>17.577308336962059</v>
      </c>
      <c r="F6">
        <v>17.635667208030561</v>
      </c>
      <c r="G6">
        <v>17.63036752102952</v>
      </c>
      <c r="H6">
        <v>17.63041165554835</v>
      </c>
      <c r="I6">
        <v>17.578630847204039</v>
      </c>
      <c r="J6">
        <v>17.65389246813838</v>
      </c>
      <c r="K6">
        <v>17.652340310317289</v>
      </c>
      <c r="L6">
        <v>17.19208516100532</v>
      </c>
      <c r="M6">
        <v>20.721015608088411</v>
      </c>
      <c r="N6">
        <v>20.69570995387388</v>
      </c>
      <c r="O6">
        <v>32.266598393248067</v>
      </c>
      <c r="P6">
        <v>32.600839518831478</v>
      </c>
      <c r="Q6">
        <v>30.257141756887719</v>
      </c>
      <c r="R6">
        <v>30.4319191042005</v>
      </c>
      <c r="S6">
        <v>15.071614334875759</v>
      </c>
      <c r="T6">
        <v>-7009.1256324084989</v>
      </c>
      <c r="U6">
        <v>31.024055042920988</v>
      </c>
      <c r="V6">
        <v>31.198595042419178</v>
      </c>
      <c r="W6">
        <v>29.49597321519585</v>
      </c>
      <c r="X6">
        <v>-2008.603325136778</v>
      </c>
      <c r="Y6">
        <v>21.707785488518791</v>
      </c>
      <c r="Z6">
        <v>17.585916661667</v>
      </c>
      <c r="AA6">
        <v>17.619160380863011</v>
      </c>
      <c r="AB6">
        <v>17.59873938408445</v>
      </c>
      <c r="AC6">
        <v>17.64447509999134</v>
      </c>
      <c r="AD6">
        <v>20.69771580116965</v>
      </c>
      <c r="AE6">
        <v>30.404514363809291</v>
      </c>
      <c r="AF6">
        <v>21.69200785815848</v>
      </c>
      <c r="AG6">
        <v>31.124879345078892</v>
      </c>
      <c r="AH6">
        <v>32.496050747462107</v>
      </c>
      <c r="AI6">
        <v>0.5</v>
      </c>
      <c r="AJ6">
        <v>1.085457825143318</v>
      </c>
      <c r="AK6">
        <v>10.95727480918673</v>
      </c>
      <c r="AL6">
        <v>8.3240236790253643</v>
      </c>
      <c r="AM6">
        <v>1031.266574791106</v>
      </c>
      <c r="AN6">
        <v>-499.76983675098131</v>
      </c>
      <c r="AO6">
        <v>4.784983548603269</v>
      </c>
      <c r="AP6">
        <v>4.784983548603269</v>
      </c>
      <c r="AQ6">
        <v>5.1874961650041183</v>
      </c>
      <c r="AR6">
        <v>-2826.0332332234452</v>
      </c>
      <c r="AS6">
        <v>-7.2532019568849044</v>
      </c>
      <c r="AT6">
        <v>-2024.312726764342</v>
      </c>
      <c r="AU6">
        <v>503</v>
      </c>
      <c r="AV6">
        <v>21</v>
      </c>
      <c r="AW6">
        <v>10</v>
      </c>
      <c r="AX6">
        <v>320</v>
      </c>
    </row>
    <row r="7" spans="1:50">
      <c r="A7">
        <v>135</v>
      </c>
      <c r="B7">
        <v>1</v>
      </c>
      <c r="C7">
        <v>0</v>
      </c>
      <c r="D7">
        <v>17.598951422367019</v>
      </c>
      <c r="E7">
        <v>17.577308336962059</v>
      </c>
      <c r="F7">
        <v>17.635667208030561</v>
      </c>
      <c r="G7">
        <v>17.63036752102952</v>
      </c>
      <c r="H7">
        <v>17.63481574133155</v>
      </c>
      <c r="I7">
        <v>17.578630847204039</v>
      </c>
      <c r="J7">
        <v>17.65389246813838</v>
      </c>
      <c r="K7">
        <v>17.65635389591964</v>
      </c>
      <c r="L7">
        <v>17.19208516100532</v>
      </c>
      <c r="M7">
        <v>20.721015608088411</v>
      </c>
      <c r="N7">
        <v>20.700629952994721</v>
      </c>
      <c r="O7">
        <v>32.295793574332912</v>
      </c>
      <c r="P7">
        <v>32.627920452452628</v>
      </c>
      <c r="Q7">
        <v>30.27553735560171</v>
      </c>
      <c r="R7">
        <v>30.44788823533715</v>
      </c>
      <c r="S7">
        <v>15.07355334469001</v>
      </c>
      <c r="T7">
        <v>-7009.1256324084989</v>
      </c>
      <c r="U7">
        <v>31.037385996633009</v>
      </c>
      <c r="V7">
        <v>31.225822995066409</v>
      </c>
      <c r="W7">
        <v>29.521790222766469</v>
      </c>
      <c r="X7">
        <v>-2008.601754625638</v>
      </c>
      <c r="Y7">
        <v>21.698728041819312</v>
      </c>
      <c r="Z7">
        <v>17.589886456356581</v>
      </c>
      <c r="AA7">
        <v>17.61547626091858</v>
      </c>
      <c r="AB7">
        <v>17.59873938408445</v>
      </c>
      <c r="AC7">
        <v>17.64447509999134</v>
      </c>
      <c r="AD7">
        <v>20.70215620557423</v>
      </c>
      <c r="AE7">
        <v>30.41963696474787</v>
      </c>
      <c r="AF7">
        <v>21.693981947711428</v>
      </c>
      <c r="AG7">
        <v>31.157854695117841</v>
      </c>
      <c r="AH7">
        <v>32.493619595467038</v>
      </c>
      <c r="AI7">
        <v>0.5</v>
      </c>
      <c r="AJ7">
        <v>1.0904474783347551</v>
      </c>
      <c r="AK7">
        <v>10.95379295098973</v>
      </c>
      <c r="AL7">
        <v>8.3245618244291837</v>
      </c>
      <c r="AM7">
        <v>1031.1389883282491</v>
      </c>
      <c r="AN7">
        <v>-499.64254940684742</v>
      </c>
      <c r="AO7">
        <v>4.784983548603269</v>
      </c>
      <c r="AP7">
        <v>4.784983548603269</v>
      </c>
      <c r="AQ7">
        <v>5.1874961650041183</v>
      </c>
      <c r="AR7">
        <v>-2826.0332332234452</v>
      </c>
      <c r="AS7">
        <v>-7.2440319616369919</v>
      </c>
      <c r="AT7">
        <v>-2024.312726764342</v>
      </c>
      <c r="AU7">
        <v>503</v>
      </c>
      <c r="AV7">
        <v>22</v>
      </c>
      <c r="AW7">
        <v>10</v>
      </c>
      <c r="AX7">
        <v>320</v>
      </c>
    </row>
    <row r="8" spans="1:50">
      <c r="A8">
        <v>135</v>
      </c>
      <c r="B8">
        <v>1</v>
      </c>
      <c r="C8">
        <v>0</v>
      </c>
      <c r="D8">
        <v>17.598951422367019</v>
      </c>
      <c r="E8">
        <v>17.577308336962059</v>
      </c>
      <c r="F8">
        <v>17.635667208030561</v>
      </c>
      <c r="G8">
        <v>17.626694574478989</v>
      </c>
      <c r="H8">
        <v>17.63481574133155</v>
      </c>
      <c r="I8">
        <v>17.578630847204039</v>
      </c>
      <c r="J8">
        <v>17.65389246813838</v>
      </c>
      <c r="K8">
        <v>17.65844831595043</v>
      </c>
      <c r="L8">
        <v>17.19208516100532</v>
      </c>
      <c r="M8">
        <v>20.726746455108891</v>
      </c>
      <c r="N8">
        <v>20.702542094470189</v>
      </c>
      <c r="O8">
        <v>32.304537494808457</v>
      </c>
      <c r="P8">
        <v>32.640501829903577</v>
      </c>
      <c r="Q8">
        <v>30.279291725457089</v>
      </c>
      <c r="R8">
        <v>30.42917469527028</v>
      </c>
      <c r="S8">
        <v>15.068676820057251</v>
      </c>
      <c r="T8">
        <v>-7009.1256324084989</v>
      </c>
      <c r="U8">
        <v>31.039773949476459</v>
      </c>
      <c r="V8">
        <v>31.23376837299784</v>
      </c>
      <c r="W8">
        <v>29.52135608802843</v>
      </c>
      <c r="X8">
        <v>-2008.601755132926</v>
      </c>
      <c r="Y8">
        <v>21.697336164774178</v>
      </c>
      <c r="Z8">
        <v>17.591624531607192</v>
      </c>
      <c r="AA8">
        <v>17.613727262613011</v>
      </c>
      <c r="AB8">
        <v>17.59873938408445</v>
      </c>
      <c r="AC8">
        <v>17.64447509999134</v>
      </c>
      <c r="AD8">
        <v>20.70929778379568</v>
      </c>
      <c r="AE8">
        <v>30.417300838149021</v>
      </c>
      <c r="AF8">
        <v>21.686242142516718</v>
      </c>
      <c r="AG8">
        <v>31.1593576398807</v>
      </c>
      <c r="AH8">
        <v>32.512160905757213</v>
      </c>
      <c r="AI8">
        <v>0.5</v>
      </c>
      <c r="AJ8">
        <v>1.0904474783347551</v>
      </c>
      <c r="AK8">
        <v>10.95647913747035</v>
      </c>
      <c r="AL8">
        <v>8.3301561974482787</v>
      </c>
      <c r="AM8">
        <v>1031.0758309855901</v>
      </c>
      <c r="AN8">
        <v>-499.75645824555698</v>
      </c>
      <c r="AO8">
        <v>4.784983548603269</v>
      </c>
      <c r="AP8">
        <v>4.784983548603269</v>
      </c>
      <c r="AQ8">
        <v>5.1874961650041183</v>
      </c>
      <c r="AR8">
        <v>-2826.0332332234452</v>
      </c>
      <c r="AS8">
        <v>-7.2420424310462224</v>
      </c>
      <c r="AT8">
        <v>-2024.312726764342</v>
      </c>
      <c r="AU8">
        <v>503</v>
      </c>
      <c r="AV8">
        <v>22</v>
      </c>
      <c r="AW8">
        <v>19.940839154029842</v>
      </c>
      <c r="AX8">
        <v>320</v>
      </c>
    </row>
    <row r="9" spans="1:50">
      <c r="A9">
        <v>195</v>
      </c>
      <c r="B9">
        <v>1</v>
      </c>
      <c r="C9">
        <v>0</v>
      </c>
      <c r="D9">
        <v>18.070933317300209</v>
      </c>
      <c r="E9">
        <v>18.054575863769251</v>
      </c>
      <c r="F9">
        <v>18.149952823082629</v>
      </c>
      <c r="G9">
        <v>18.097124476073962</v>
      </c>
      <c r="H9">
        <v>18.09173898226539</v>
      </c>
      <c r="I9">
        <v>18.057202529251409</v>
      </c>
      <c r="J9">
        <v>18.121368998269698</v>
      </c>
      <c r="K9">
        <v>18.162865364004769</v>
      </c>
      <c r="L9">
        <v>17.437040950158181</v>
      </c>
      <c r="M9">
        <v>22.03674187195767</v>
      </c>
      <c r="N9">
        <v>22.011264066816771</v>
      </c>
      <c r="O9">
        <v>42.685775958944127</v>
      </c>
      <c r="P9">
        <v>43.381136863447097</v>
      </c>
      <c r="Q9">
        <v>40.208599436971291</v>
      </c>
      <c r="R9">
        <v>40.254988451154297</v>
      </c>
      <c r="S9">
        <v>12.96134512145127</v>
      </c>
      <c r="T9">
        <v>-6927.6283619594224</v>
      </c>
      <c r="U9">
        <v>39.914781368679982</v>
      </c>
      <c r="V9">
        <v>39.956196330336283</v>
      </c>
      <c r="W9">
        <v>37.519755070316677</v>
      </c>
      <c r="X9">
        <v>-2005.070556463324</v>
      </c>
      <c r="Y9">
        <v>23.924866299106188</v>
      </c>
      <c r="Z9">
        <v>18.049460222856862</v>
      </c>
      <c r="AA9">
        <v>18.1052332726135</v>
      </c>
      <c r="AB9">
        <v>18.060042915269499</v>
      </c>
      <c r="AC9">
        <v>18.128222860947989</v>
      </c>
      <c r="AD9">
        <v>22.03678080709739</v>
      </c>
      <c r="AE9">
        <v>40.287495491611743</v>
      </c>
      <c r="AF9">
        <v>23.958339766025851</v>
      </c>
      <c r="AG9">
        <v>39.926365377067569</v>
      </c>
      <c r="AH9">
        <v>43.072143392765263</v>
      </c>
      <c r="AI9">
        <v>0.6</v>
      </c>
      <c r="AJ9">
        <v>1.9872392058621171</v>
      </c>
      <c r="AK9">
        <v>18.991682267688031</v>
      </c>
      <c r="AL9">
        <v>14.54828556708866</v>
      </c>
      <c r="AM9">
        <v>1425.3129607685639</v>
      </c>
      <c r="AN9">
        <v>3.9803574620725608</v>
      </c>
      <c r="AO9">
        <v>6.7524867782937266</v>
      </c>
      <c r="AP9">
        <v>6.6449831178805931</v>
      </c>
      <c r="AQ9">
        <v>5.1874961650041183</v>
      </c>
      <c r="AR9">
        <v>-2826.0314849903698</v>
      </c>
      <c r="AS9">
        <v>-6.9259142257779089</v>
      </c>
      <c r="AT9">
        <v>-2024.3174285208661</v>
      </c>
      <c r="AU9">
        <v>503</v>
      </c>
      <c r="AV9">
        <v>22</v>
      </c>
      <c r="AW9">
        <v>25</v>
      </c>
      <c r="AX9">
        <v>480</v>
      </c>
    </row>
    <row r="10" spans="1:50">
      <c r="A10">
        <v>195</v>
      </c>
      <c r="B10">
        <v>1</v>
      </c>
      <c r="C10">
        <v>0</v>
      </c>
      <c r="D10">
        <v>18.07363982056809</v>
      </c>
      <c r="E10">
        <v>18.05818183084811</v>
      </c>
      <c r="F10">
        <v>18.15254021278216</v>
      </c>
      <c r="G10">
        <v>18.099682394005541</v>
      </c>
      <c r="H10">
        <v>18.09255145409324</v>
      </c>
      <c r="I10">
        <v>18.057202529251409</v>
      </c>
      <c r="J10">
        <v>18.125648902026661</v>
      </c>
      <c r="K10">
        <v>18.165449005181639</v>
      </c>
      <c r="L10">
        <v>17.437040950158181</v>
      </c>
      <c r="M10">
        <v>22.055012634918281</v>
      </c>
      <c r="N10">
        <v>22.01561709666564</v>
      </c>
      <c r="O10">
        <v>42.693251380789363</v>
      </c>
      <c r="P10">
        <v>43.385980905127077</v>
      </c>
      <c r="Q10">
        <v>40.222238384989197</v>
      </c>
      <c r="R10">
        <v>40.266776624115238</v>
      </c>
      <c r="S10">
        <v>12.98499743931743</v>
      </c>
      <c r="T10">
        <v>-6972.3164866075049</v>
      </c>
      <c r="U10">
        <v>39.927256782687593</v>
      </c>
      <c r="V10">
        <v>39.96804445716522</v>
      </c>
      <c r="W10">
        <v>37.529714618304183</v>
      </c>
      <c r="X10">
        <v>-2005.065747633847</v>
      </c>
      <c r="Y10">
        <v>23.938012551088569</v>
      </c>
      <c r="Z10">
        <v>18.050592927963649</v>
      </c>
      <c r="AA10">
        <v>18.1052332726135</v>
      </c>
      <c r="AB10">
        <v>18.060042915269499</v>
      </c>
      <c r="AC10">
        <v>18.129504479105321</v>
      </c>
      <c r="AD10">
        <v>22.06038061086922</v>
      </c>
      <c r="AE10">
        <v>40.298736361999708</v>
      </c>
      <c r="AF10">
        <v>23.969625704059389</v>
      </c>
      <c r="AG10">
        <v>39.929664866550652</v>
      </c>
      <c r="AH10">
        <v>43.067572044671543</v>
      </c>
      <c r="AI10">
        <v>0.6</v>
      </c>
      <c r="AJ10">
        <v>1.9872392058621171</v>
      </c>
      <c r="AK10">
        <v>18.99170201821757</v>
      </c>
      <c r="AL10">
        <v>14.549792344541361</v>
      </c>
      <c r="AM10">
        <v>1425.99309960446</v>
      </c>
      <c r="AN10">
        <v>4.0782275918468258</v>
      </c>
      <c r="AO10">
        <v>6.7524867782937266</v>
      </c>
      <c r="AP10">
        <v>6.6449831178805931</v>
      </c>
      <c r="AQ10">
        <v>5.1874961650041183</v>
      </c>
      <c r="AR10">
        <v>-2826.0314849903698</v>
      </c>
      <c r="AS10">
        <v>-6.9259142257779089</v>
      </c>
      <c r="AT10">
        <v>-2024.3174285208661</v>
      </c>
      <c r="AU10">
        <v>503</v>
      </c>
      <c r="AV10">
        <v>22.662722610268659</v>
      </c>
      <c r="AW10">
        <v>25</v>
      </c>
      <c r="AX10">
        <v>480</v>
      </c>
    </row>
    <row r="11" spans="1:50">
      <c r="A11">
        <v>195</v>
      </c>
      <c r="B11">
        <v>1</v>
      </c>
      <c r="C11">
        <v>0</v>
      </c>
      <c r="D11">
        <v>18.07363982056809</v>
      </c>
      <c r="E11">
        <v>18.05818183084811</v>
      </c>
      <c r="F11">
        <v>18.15254021278216</v>
      </c>
      <c r="G11">
        <v>18.099682394005541</v>
      </c>
      <c r="H11">
        <v>18.09255145409324</v>
      </c>
      <c r="I11">
        <v>18.057202529251409</v>
      </c>
      <c r="J11">
        <v>18.124045414357511</v>
      </c>
      <c r="K11">
        <v>18.16341971872825</v>
      </c>
      <c r="L11">
        <v>17.437040950158181</v>
      </c>
      <c r="M11">
        <v>22.059052366968711</v>
      </c>
      <c r="N11">
        <v>22.010916262533851</v>
      </c>
      <c r="O11">
        <v>42.700319721042263</v>
      </c>
      <c r="P11">
        <v>43.383879018446393</v>
      </c>
      <c r="Q11">
        <v>40.228394221543951</v>
      </c>
      <c r="R11">
        <v>40.270097923278243</v>
      </c>
      <c r="S11">
        <v>12.985787482698809</v>
      </c>
      <c r="T11">
        <v>-6972.3198699792938</v>
      </c>
      <c r="U11">
        <v>39.932878966345932</v>
      </c>
      <c r="V11">
        <v>39.973835629986723</v>
      </c>
      <c r="W11">
        <v>37.533874582913342</v>
      </c>
      <c r="X11">
        <v>-2005.065747633847</v>
      </c>
      <c r="Y11">
        <v>23.938123279368881</v>
      </c>
      <c r="Z11">
        <v>18.050592927963649</v>
      </c>
      <c r="AA11">
        <v>18.099248564762899</v>
      </c>
      <c r="AB11">
        <v>18.060042915269499</v>
      </c>
      <c r="AC11">
        <v>18.129504479105321</v>
      </c>
      <c r="AD11">
        <v>22.060615158006229</v>
      </c>
      <c r="AE11">
        <v>40.30472143146352</v>
      </c>
      <c r="AF11">
        <v>23.973344878678571</v>
      </c>
      <c r="AG11">
        <v>39.935133809173877</v>
      </c>
      <c r="AH11">
        <v>43.069101155790079</v>
      </c>
      <c r="AI11">
        <v>0.6</v>
      </c>
      <c r="AJ11">
        <v>1.989039230912991</v>
      </c>
      <c r="AK11">
        <v>18.99469690026255</v>
      </c>
      <c r="AL11">
        <v>14.5482400520584</v>
      </c>
      <c r="AM11">
        <v>1426.1054631091911</v>
      </c>
      <c r="AN11">
        <v>4.1092078812523596</v>
      </c>
      <c r="AO11">
        <v>6.7524867782937266</v>
      </c>
      <c r="AP11">
        <v>6.6449831178805931</v>
      </c>
      <c r="AQ11">
        <v>5.1874961650041183</v>
      </c>
      <c r="AR11">
        <v>-2826.0314849903698</v>
      </c>
      <c r="AS11">
        <v>-6.9215792920156929</v>
      </c>
      <c r="AT11">
        <v>-2024.3174285208661</v>
      </c>
      <c r="AU11">
        <v>503</v>
      </c>
      <c r="AV11">
        <v>23</v>
      </c>
      <c r="AW11">
        <v>28.26044078053717</v>
      </c>
      <c r="AX11">
        <v>480</v>
      </c>
    </row>
    <row r="12" spans="1:50">
      <c r="A12">
        <v>255</v>
      </c>
      <c r="B12">
        <v>1</v>
      </c>
      <c r="C12">
        <v>0</v>
      </c>
      <c r="D12">
        <v>18.874282487262871</v>
      </c>
      <c r="E12">
        <v>18.85224848942984</v>
      </c>
      <c r="F12">
        <v>18.94105624121887</v>
      </c>
      <c r="G12">
        <v>18.914302185582471</v>
      </c>
      <c r="H12">
        <v>18.893709960107291</v>
      </c>
      <c r="I12">
        <v>18.84904409582327</v>
      </c>
      <c r="J12">
        <v>18.92457745593266</v>
      </c>
      <c r="K12">
        <v>18.954129110768239</v>
      </c>
      <c r="L12">
        <v>17.862168022647371</v>
      </c>
      <c r="M12">
        <v>23.14827235545452</v>
      </c>
      <c r="N12">
        <v>23.050375683235391</v>
      </c>
      <c r="O12">
        <v>47.970798334264032</v>
      </c>
      <c r="P12">
        <v>48.897993708542032</v>
      </c>
      <c r="Q12">
        <v>45.047896948253197</v>
      </c>
      <c r="R12">
        <v>45.058801734872617</v>
      </c>
      <c r="S12">
        <v>11.729745244186599</v>
      </c>
      <c r="T12">
        <v>-6972.3186278582007</v>
      </c>
      <c r="U12">
        <v>44.406521171385677</v>
      </c>
      <c r="V12">
        <v>44.394984324147252</v>
      </c>
      <c r="W12">
        <v>41.639971517898218</v>
      </c>
      <c r="X12">
        <v>-2002.223810762762</v>
      </c>
      <c r="Y12">
        <v>25.415031983559651</v>
      </c>
      <c r="Z12">
        <v>18.84685997947728</v>
      </c>
      <c r="AA12">
        <v>18.91676584982644</v>
      </c>
      <c r="AB12">
        <v>18.85340287264636</v>
      </c>
      <c r="AC12">
        <v>18.917732469706539</v>
      </c>
      <c r="AD12">
        <v>23.082574882874919</v>
      </c>
      <c r="AE12">
        <v>45.105427920360782</v>
      </c>
      <c r="AF12">
        <v>25.45916482875392</v>
      </c>
      <c r="AG12">
        <v>44.39705504613957</v>
      </c>
      <c r="AH12">
        <v>48.460042717687358</v>
      </c>
      <c r="AI12">
        <v>0.4</v>
      </c>
      <c r="AJ12">
        <v>2.378699402535966</v>
      </c>
      <c r="AK12">
        <v>22.684173000783961</v>
      </c>
      <c r="AL12">
        <v>17.581024610653849</v>
      </c>
      <c r="AM12">
        <v>1664.5299127603701</v>
      </c>
      <c r="AN12">
        <v>262.9543627034268</v>
      </c>
      <c r="AO12">
        <v>7.7096388613820377</v>
      </c>
      <c r="AP12">
        <v>7.6279107798614314</v>
      </c>
      <c r="AQ12">
        <v>5.1874961650041183</v>
      </c>
      <c r="AR12">
        <v>-2826.0332332234452</v>
      </c>
      <c r="AS12">
        <v>-6.7958858233698081</v>
      </c>
      <c r="AT12">
        <v>-2024.2825683636811</v>
      </c>
      <c r="AU12">
        <v>503</v>
      </c>
      <c r="AV12">
        <v>23</v>
      </c>
      <c r="AW12">
        <v>33</v>
      </c>
      <c r="AX12">
        <v>560</v>
      </c>
    </row>
    <row r="13" spans="1:50">
      <c r="A13">
        <v>255</v>
      </c>
      <c r="B13">
        <v>1</v>
      </c>
      <c r="C13">
        <v>0</v>
      </c>
      <c r="D13">
        <v>18.875704753274452</v>
      </c>
      <c r="E13">
        <v>18.85224848942984</v>
      </c>
      <c r="F13">
        <v>18.942961027616349</v>
      </c>
      <c r="G13">
        <v>18.914302185582471</v>
      </c>
      <c r="H13">
        <v>18.895227275321648</v>
      </c>
      <c r="I13">
        <v>18.85452602239987</v>
      </c>
      <c r="J13">
        <v>18.92457745593266</v>
      </c>
      <c r="K13">
        <v>18.959584038318461</v>
      </c>
      <c r="L13">
        <v>17.866291168509481</v>
      </c>
      <c r="M13">
        <v>23.141550013332221</v>
      </c>
      <c r="N13">
        <v>23.055387215953221</v>
      </c>
      <c r="O13">
        <v>47.953641798322963</v>
      </c>
      <c r="P13">
        <v>48.889956588724978</v>
      </c>
      <c r="Q13">
        <v>45.032724738782079</v>
      </c>
      <c r="R13">
        <v>45.043771088317342</v>
      </c>
      <c r="S13">
        <v>11.754135278430359</v>
      </c>
      <c r="T13">
        <v>-6972.3186278582007</v>
      </c>
      <c r="U13">
        <v>44.397898475489917</v>
      </c>
      <c r="V13">
        <v>44.388636787745241</v>
      </c>
      <c r="W13">
        <v>41.63046775088678</v>
      </c>
      <c r="X13">
        <v>-2002.228576435414</v>
      </c>
      <c r="Y13">
        <v>25.40466731150546</v>
      </c>
      <c r="Z13">
        <v>18.85136981508148</v>
      </c>
      <c r="AA13">
        <v>18.91676584982644</v>
      </c>
      <c r="AB13">
        <v>18.858551199242669</v>
      </c>
      <c r="AC13">
        <v>18.922514796219691</v>
      </c>
      <c r="AD13">
        <v>23.080293517801799</v>
      </c>
      <c r="AE13">
        <v>45.090304729653639</v>
      </c>
      <c r="AF13">
        <v>25.442874337526881</v>
      </c>
      <c r="AG13">
        <v>44.392103178860808</v>
      </c>
      <c r="AH13">
        <v>48.450850367561777</v>
      </c>
      <c r="AI13">
        <v>0.4</v>
      </c>
      <c r="AJ13">
        <v>2.3850142298210502</v>
      </c>
      <c r="AK13">
        <v>22.67959595874613</v>
      </c>
      <c r="AL13">
        <v>17.58200287946558</v>
      </c>
      <c r="AM13">
        <v>1664.532684041664</v>
      </c>
      <c r="AN13">
        <v>262.75117731158429</v>
      </c>
      <c r="AO13">
        <v>7.7096388613820377</v>
      </c>
      <c r="AP13">
        <v>7.6279107798614314</v>
      </c>
      <c r="AQ13">
        <v>5.1874961650041183</v>
      </c>
      <c r="AR13">
        <v>-2826.0332332234452</v>
      </c>
      <c r="AS13">
        <v>-6.7958858233698081</v>
      </c>
      <c r="AT13">
        <v>-2024.2825683636811</v>
      </c>
      <c r="AU13">
        <v>503</v>
      </c>
      <c r="AV13">
        <v>23</v>
      </c>
      <c r="AW13">
        <v>33</v>
      </c>
      <c r="AX13">
        <v>560</v>
      </c>
    </row>
    <row r="14" spans="1:50">
      <c r="A14">
        <v>255</v>
      </c>
      <c r="B14">
        <v>1</v>
      </c>
      <c r="C14">
        <v>0</v>
      </c>
      <c r="D14">
        <v>18.879279603818489</v>
      </c>
      <c r="E14">
        <v>18.85224848942984</v>
      </c>
      <c r="F14">
        <v>18.942961027616349</v>
      </c>
      <c r="G14">
        <v>18.916078617439901</v>
      </c>
      <c r="H14">
        <v>18.895227275321648</v>
      </c>
      <c r="I14">
        <v>18.85452602239987</v>
      </c>
      <c r="J14">
        <v>18.925468321744891</v>
      </c>
      <c r="K14">
        <v>18.959584038318461</v>
      </c>
      <c r="L14">
        <v>17.866291168509481</v>
      </c>
      <c r="M14">
        <v>23.118085289583359</v>
      </c>
      <c r="N14">
        <v>23.037065612712841</v>
      </c>
      <c r="O14">
        <v>47.977894370463382</v>
      </c>
      <c r="P14">
        <v>48.899721109899502</v>
      </c>
      <c r="Q14">
        <v>45.040261193844387</v>
      </c>
      <c r="R14">
        <v>45.041587767426719</v>
      </c>
      <c r="S14">
        <v>11.72469358676625</v>
      </c>
      <c r="T14">
        <v>-6972.3186278582007</v>
      </c>
      <c r="U14">
        <v>44.390996093952403</v>
      </c>
      <c r="V14">
        <v>44.386004563750788</v>
      </c>
      <c r="W14">
        <v>41.629295339040148</v>
      </c>
      <c r="X14">
        <v>-2002.21911458564</v>
      </c>
      <c r="Y14">
        <v>25.393011029662841</v>
      </c>
      <c r="Z14">
        <v>18.853204464003351</v>
      </c>
      <c r="AA14">
        <v>18.91284534348425</v>
      </c>
      <c r="AB14">
        <v>18.86091426216154</v>
      </c>
      <c r="AC14">
        <v>18.92166257754916</v>
      </c>
      <c r="AD14">
        <v>23.050435131155751</v>
      </c>
      <c r="AE14">
        <v>45.086586791521668</v>
      </c>
      <c r="AF14">
        <v>25.427957347488</v>
      </c>
      <c r="AG14">
        <v>44.384493006245307</v>
      </c>
      <c r="AH14">
        <v>48.55301128309948</v>
      </c>
      <c r="AI14">
        <v>2.2999999999999998</v>
      </c>
      <c r="AJ14">
        <v>2.3845864339732712</v>
      </c>
      <c r="AK14">
        <v>22.689607489328331</v>
      </c>
      <c r="AL14">
        <v>17.582089430802469</v>
      </c>
      <c r="AM14">
        <v>1664.738076110764</v>
      </c>
      <c r="AN14">
        <v>262.81789631579892</v>
      </c>
      <c r="AO14">
        <v>7.7096388613820377</v>
      </c>
      <c r="AP14">
        <v>7.6279107798614314</v>
      </c>
      <c r="AQ14">
        <v>5.1874961650041183</v>
      </c>
      <c r="AR14">
        <v>-2826.0332332234452</v>
      </c>
      <c r="AS14">
        <v>-6.8137484974304243</v>
      </c>
      <c r="AT14">
        <v>-2024.2825683636811</v>
      </c>
      <c r="AU14">
        <v>503</v>
      </c>
      <c r="AV14">
        <v>23</v>
      </c>
      <c r="AW14">
        <v>15</v>
      </c>
      <c r="AX14">
        <v>560</v>
      </c>
    </row>
    <row r="15" spans="1:50">
      <c r="A15">
        <v>315</v>
      </c>
      <c r="B15">
        <v>1</v>
      </c>
      <c r="C15">
        <v>0</v>
      </c>
      <c r="D15">
        <v>19.336331746958049</v>
      </c>
      <c r="E15">
        <v>19.30916602098613</v>
      </c>
      <c r="F15">
        <v>19.39183953671844</v>
      </c>
      <c r="G15">
        <v>19.35581462497295</v>
      </c>
      <c r="H15">
        <v>19.35787579253526</v>
      </c>
      <c r="I15">
        <v>19.30855236120458</v>
      </c>
      <c r="J15">
        <v>19.372119393712079</v>
      </c>
      <c r="K15">
        <v>19.39631727723474</v>
      </c>
      <c r="L15">
        <v>18.355084223149269</v>
      </c>
      <c r="M15">
        <v>21.036274220954731</v>
      </c>
      <c r="N15">
        <v>21.047640107079818</v>
      </c>
      <c r="O15">
        <v>35.518910587393123</v>
      </c>
      <c r="P15">
        <v>36.118844346138161</v>
      </c>
      <c r="Q15">
        <v>33.616096921698443</v>
      </c>
      <c r="R15">
        <v>33.698582163089391</v>
      </c>
      <c r="S15">
        <v>14.61222219074291</v>
      </c>
      <c r="T15">
        <v>-6927.6202389096843</v>
      </c>
      <c r="U15">
        <v>33.843818496184511</v>
      </c>
      <c r="V15">
        <v>33.999740232116608</v>
      </c>
      <c r="W15">
        <v>32.041061354076923</v>
      </c>
      <c r="X15">
        <v>-2007.4534228772509</v>
      </c>
      <c r="Y15">
        <v>22.283078880390221</v>
      </c>
      <c r="Z15">
        <v>19.311021709408902</v>
      </c>
      <c r="AA15">
        <v>19.362275189827969</v>
      </c>
      <c r="AB15">
        <v>19.31306769662892</v>
      </c>
      <c r="AC15">
        <v>19.35391489584682</v>
      </c>
      <c r="AD15">
        <v>21.065391157249959</v>
      </c>
      <c r="AE15">
        <v>33.714730976213637</v>
      </c>
      <c r="AF15">
        <v>22.303202395075338</v>
      </c>
      <c r="AG15">
        <v>33.932089081184998</v>
      </c>
      <c r="AH15">
        <v>35.839724696050503</v>
      </c>
      <c r="AI15">
        <v>0.3</v>
      </c>
      <c r="AJ15">
        <v>1.379640137555892</v>
      </c>
      <c r="AK15">
        <v>14.31254886720048</v>
      </c>
      <c r="AL15">
        <v>10.60409744656263</v>
      </c>
      <c r="AM15">
        <v>1179.7468518341609</v>
      </c>
      <c r="AN15">
        <v>-323.23699545480889</v>
      </c>
      <c r="AO15">
        <v>5.1076594556204444</v>
      </c>
      <c r="AP15">
        <v>4.9845442210015758</v>
      </c>
      <c r="AQ15">
        <v>5.1867505697883409</v>
      </c>
      <c r="AR15">
        <v>-2826.0332332234452</v>
      </c>
      <c r="AS15">
        <v>-6.9083738701646604</v>
      </c>
      <c r="AT15">
        <v>-2024.3890605299059</v>
      </c>
      <c r="AU15">
        <v>503</v>
      </c>
      <c r="AV15">
        <v>23</v>
      </c>
      <c r="AW15">
        <v>15</v>
      </c>
      <c r="AX15">
        <v>380</v>
      </c>
    </row>
    <row r="16" spans="1:50">
      <c r="A16">
        <v>315</v>
      </c>
      <c r="B16">
        <v>1</v>
      </c>
      <c r="C16">
        <v>0</v>
      </c>
      <c r="D16">
        <v>19.338537530536389</v>
      </c>
      <c r="E16">
        <v>19.31309786122678</v>
      </c>
      <c r="F16">
        <v>19.39183953671844</v>
      </c>
      <c r="G16">
        <v>19.35585081447752</v>
      </c>
      <c r="H16">
        <v>19.35787579253526</v>
      </c>
      <c r="I16">
        <v>19.310966571016021</v>
      </c>
      <c r="J16">
        <v>19.37122621818548</v>
      </c>
      <c r="K16">
        <v>19.39631727723474</v>
      </c>
      <c r="L16">
        <v>18.355084223149269</v>
      </c>
      <c r="M16">
        <v>21.04860179128584</v>
      </c>
      <c r="N16">
        <v>21.050260046322819</v>
      </c>
      <c r="O16">
        <v>35.517905814063838</v>
      </c>
      <c r="P16">
        <v>36.106582335616807</v>
      </c>
      <c r="Q16">
        <v>33.610493560062181</v>
      </c>
      <c r="R16">
        <v>33.693900829781761</v>
      </c>
      <c r="S16">
        <v>14.60457393884225</v>
      </c>
      <c r="T16">
        <v>-6927.6202390336339</v>
      </c>
      <c r="U16">
        <v>33.843624751052793</v>
      </c>
      <c r="V16">
        <v>33.986203939608842</v>
      </c>
      <c r="W16">
        <v>32.028590538669313</v>
      </c>
      <c r="X16">
        <v>-2007.456548412548</v>
      </c>
      <c r="Y16">
        <v>22.307221523606529</v>
      </c>
      <c r="Z16">
        <v>19.315047193512239</v>
      </c>
      <c r="AA16">
        <v>19.36230985680886</v>
      </c>
      <c r="AB16">
        <v>19.315464304226929</v>
      </c>
      <c r="AC16">
        <v>19.35391489584682</v>
      </c>
      <c r="AD16">
        <v>21.068153844817299</v>
      </c>
      <c r="AE16">
        <v>33.714610202377479</v>
      </c>
      <c r="AF16">
        <v>22.318317342769081</v>
      </c>
      <c r="AG16">
        <v>33.938206110441698</v>
      </c>
      <c r="AH16">
        <v>35.837745976740408</v>
      </c>
      <c r="AI16">
        <v>0.3</v>
      </c>
      <c r="AJ16">
        <v>1.377559322120596</v>
      </c>
      <c r="AK16">
        <v>14.30959159279505</v>
      </c>
      <c r="AL16">
        <v>10.584518875380009</v>
      </c>
      <c r="AM16">
        <v>1179.8050380172999</v>
      </c>
      <c r="AN16">
        <v>-323.62075558842253</v>
      </c>
      <c r="AO16">
        <v>5.1076594556204444</v>
      </c>
      <c r="AP16">
        <v>4.9845442210015758</v>
      </c>
      <c r="AQ16">
        <v>5.1867505697883409</v>
      </c>
      <c r="AR16">
        <v>-2826.0314849903698</v>
      </c>
      <c r="AS16">
        <v>-6.9083738701646604</v>
      </c>
      <c r="AT16">
        <v>-2024.3890605299059</v>
      </c>
      <c r="AU16">
        <v>503</v>
      </c>
      <c r="AV16">
        <v>23.662722610268659</v>
      </c>
      <c r="AW16">
        <v>15</v>
      </c>
      <c r="AX16">
        <v>380</v>
      </c>
    </row>
    <row r="17" spans="1:50">
      <c r="A17">
        <v>315</v>
      </c>
      <c r="B17">
        <v>1</v>
      </c>
      <c r="C17">
        <v>0</v>
      </c>
      <c r="D17">
        <v>19.338537530536389</v>
      </c>
      <c r="E17">
        <v>19.309528911565931</v>
      </c>
      <c r="F17">
        <v>19.39183953671844</v>
      </c>
      <c r="G17">
        <v>19.35585081447752</v>
      </c>
      <c r="H17">
        <v>19.354242699979089</v>
      </c>
      <c r="I17">
        <v>19.310966571016021</v>
      </c>
      <c r="J17">
        <v>19.37122621818548</v>
      </c>
      <c r="K17">
        <v>19.39631727723474</v>
      </c>
      <c r="L17">
        <v>18.355084223149269</v>
      </c>
      <c r="M17">
        <v>21.044674509103348</v>
      </c>
      <c r="N17">
        <v>21.046746486688448</v>
      </c>
      <c r="O17">
        <v>35.51937524711181</v>
      </c>
      <c r="P17">
        <v>36.106314563855541</v>
      </c>
      <c r="Q17">
        <v>33.610493560062181</v>
      </c>
      <c r="R17">
        <v>33.69655634519227</v>
      </c>
      <c r="S17">
        <v>14.60457393884225</v>
      </c>
      <c r="T17">
        <v>-6927.6202390336339</v>
      </c>
      <c r="U17">
        <v>33.843624751052793</v>
      </c>
      <c r="V17">
        <v>33.986203939608842</v>
      </c>
      <c r="W17">
        <v>32.025335823969833</v>
      </c>
      <c r="X17">
        <v>-2007.456548412548</v>
      </c>
      <c r="Y17">
        <v>22.307221523606529</v>
      </c>
      <c r="Z17">
        <v>19.315047193512239</v>
      </c>
      <c r="AA17">
        <v>19.36230985680886</v>
      </c>
      <c r="AB17">
        <v>19.315464304226929</v>
      </c>
      <c r="AC17">
        <v>19.35391489584682</v>
      </c>
      <c r="AD17">
        <v>21.064418745831219</v>
      </c>
      <c r="AE17">
        <v>33.71693354648643</v>
      </c>
      <c r="AF17">
        <v>22.316330374060971</v>
      </c>
      <c r="AG17">
        <v>33.935528574647513</v>
      </c>
      <c r="AH17">
        <v>35.837745976740408</v>
      </c>
      <c r="AI17">
        <v>0.3</v>
      </c>
      <c r="AJ17">
        <v>1.3779220028960111</v>
      </c>
      <c r="AK17">
        <v>14.308684106003129</v>
      </c>
      <c r="AL17">
        <v>10.579171699691249</v>
      </c>
      <c r="AM17">
        <v>1179.2441639204151</v>
      </c>
      <c r="AN17">
        <v>-323.77084144973509</v>
      </c>
      <c r="AO17">
        <v>5.1072333075270766</v>
      </c>
      <c r="AP17">
        <v>4.9840341291156687</v>
      </c>
      <c r="AQ17">
        <v>5.1867505697883409</v>
      </c>
      <c r="AR17">
        <v>-2826.0314849903698</v>
      </c>
      <c r="AS17">
        <v>-6.8961277959637748</v>
      </c>
      <c r="AT17">
        <v>-2024.3890605299059</v>
      </c>
      <c r="AU17">
        <v>503</v>
      </c>
      <c r="AV17">
        <v>24</v>
      </c>
      <c r="AW17">
        <v>18.313613051343282</v>
      </c>
      <c r="AX17">
        <v>380</v>
      </c>
    </row>
    <row r="18" spans="1:50">
      <c r="A18">
        <v>375</v>
      </c>
      <c r="B18">
        <v>1</v>
      </c>
      <c r="C18">
        <v>0</v>
      </c>
      <c r="D18">
        <v>19.709220846082861</v>
      </c>
      <c r="E18">
        <v>19.687873750001039</v>
      </c>
      <c r="F18">
        <v>19.77040862437573</v>
      </c>
      <c r="G18">
        <v>19.730649847774519</v>
      </c>
      <c r="H18">
        <v>19.73385721398882</v>
      </c>
      <c r="I18">
        <v>19.704046219091278</v>
      </c>
      <c r="J18">
        <v>19.748908135600999</v>
      </c>
      <c r="K18">
        <v>19.752342678987979</v>
      </c>
      <c r="L18">
        <v>18.699580465878309</v>
      </c>
      <c r="M18">
        <v>21.639648712631551</v>
      </c>
      <c r="N18">
        <v>21.625930976721872</v>
      </c>
      <c r="O18">
        <v>39.157044466414277</v>
      </c>
      <c r="P18">
        <v>39.896734118451327</v>
      </c>
      <c r="Q18">
        <v>36.985541858860252</v>
      </c>
      <c r="R18">
        <v>36.97736111852879</v>
      </c>
      <c r="S18">
        <v>13.98115252466898</v>
      </c>
      <c r="T18">
        <v>-7009.1517913888711</v>
      </c>
      <c r="U18">
        <v>36.917215051507732</v>
      </c>
      <c r="V18">
        <v>37.00822955201636</v>
      </c>
      <c r="W18">
        <v>34.816797536033803</v>
      </c>
      <c r="X18">
        <v>-2006.2587433593251</v>
      </c>
      <c r="Y18">
        <v>23.13636344398245</v>
      </c>
      <c r="Z18">
        <v>19.695225980978002</v>
      </c>
      <c r="AA18">
        <v>19.73888987277979</v>
      </c>
      <c r="AB18">
        <v>19.7114699217084</v>
      </c>
      <c r="AC18">
        <v>19.757478828958199</v>
      </c>
      <c r="AD18">
        <v>21.642826937309859</v>
      </c>
      <c r="AE18">
        <v>37.039080746132591</v>
      </c>
      <c r="AF18">
        <v>23.152143328307609</v>
      </c>
      <c r="AG18">
        <v>36.973482338757179</v>
      </c>
      <c r="AH18">
        <v>39.554685838392373</v>
      </c>
      <c r="AI18">
        <v>0.1</v>
      </c>
      <c r="AJ18">
        <v>1.634641890942953</v>
      </c>
      <c r="AK18">
        <v>16.505073316761489</v>
      </c>
      <c r="AL18">
        <v>12.54867793685211</v>
      </c>
      <c r="AM18">
        <v>1286.236497023885</v>
      </c>
      <c r="AN18">
        <v>-174.98465708529901</v>
      </c>
      <c r="AO18">
        <v>5.9261286886182312</v>
      </c>
      <c r="AP18">
        <v>5.8136517106904071</v>
      </c>
      <c r="AQ18">
        <v>5.1874961650041183</v>
      </c>
      <c r="AR18">
        <v>-2826.0314849903698</v>
      </c>
      <c r="AS18">
        <v>-6.8849585075361617</v>
      </c>
      <c r="AT18">
        <v>-2024.398618466889</v>
      </c>
      <c r="AU18">
        <v>503</v>
      </c>
      <c r="AV18">
        <v>24</v>
      </c>
      <c r="AW18">
        <v>20</v>
      </c>
      <c r="AX18">
        <v>430</v>
      </c>
    </row>
    <row r="19" spans="1:50">
      <c r="A19">
        <v>375</v>
      </c>
      <c r="B19">
        <v>1</v>
      </c>
      <c r="C19">
        <v>0</v>
      </c>
      <c r="D19">
        <v>19.709220846082861</v>
      </c>
      <c r="E19">
        <v>19.687873750001039</v>
      </c>
      <c r="F19">
        <v>19.77040862437573</v>
      </c>
      <c r="G19">
        <v>19.730649847774519</v>
      </c>
      <c r="H19">
        <v>19.733405483668399</v>
      </c>
      <c r="I19">
        <v>19.704046219091278</v>
      </c>
      <c r="J19">
        <v>19.748908135600999</v>
      </c>
      <c r="K19">
        <v>19.751760176580529</v>
      </c>
      <c r="L19">
        <v>18.705437731829839</v>
      </c>
      <c r="M19">
        <v>21.650878304448561</v>
      </c>
      <c r="N19">
        <v>21.638521571028569</v>
      </c>
      <c r="O19">
        <v>39.158096379445567</v>
      </c>
      <c r="P19">
        <v>39.9057026434836</v>
      </c>
      <c r="Q19">
        <v>36.988350488826804</v>
      </c>
      <c r="R19">
        <v>36.975993025765128</v>
      </c>
      <c r="S19">
        <v>13.98758334418951</v>
      </c>
      <c r="T19">
        <v>-7038.4261709822076</v>
      </c>
      <c r="U19">
        <v>36.912409274438282</v>
      </c>
      <c r="V19">
        <v>37.007938305588993</v>
      </c>
      <c r="W19">
        <v>34.829933870100056</v>
      </c>
      <c r="X19">
        <v>-2006.2571774918199</v>
      </c>
      <c r="Y19">
        <v>23.136872156064719</v>
      </c>
      <c r="Z19">
        <v>19.695225980978002</v>
      </c>
      <c r="AA19">
        <v>19.73888987277979</v>
      </c>
      <c r="AB19">
        <v>19.7114699217084</v>
      </c>
      <c r="AC19">
        <v>19.757478828958199</v>
      </c>
      <c r="AD19">
        <v>21.65284144292572</v>
      </c>
      <c r="AE19">
        <v>37.054000856139169</v>
      </c>
      <c r="AF19">
        <v>23.155167468465969</v>
      </c>
      <c r="AG19">
        <v>36.975577216943101</v>
      </c>
      <c r="AH19">
        <v>39.567600910434237</v>
      </c>
      <c r="AI19">
        <v>0.1</v>
      </c>
      <c r="AJ19">
        <v>1.6293882694224591</v>
      </c>
      <c r="AK19">
        <v>16.507573712662872</v>
      </c>
      <c r="AL19">
        <v>12.55029924474063</v>
      </c>
      <c r="AM19">
        <v>1286.130300276247</v>
      </c>
      <c r="AN19">
        <v>-174.90861152547359</v>
      </c>
      <c r="AO19">
        <v>5.9261286886182312</v>
      </c>
      <c r="AP19">
        <v>5.8136517106904071</v>
      </c>
      <c r="AQ19">
        <v>5.1874961650041183</v>
      </c>
      <c r="AR19">
        <v>-2826.0314849903698</v>
      </c>
      <c r="AS19">
        <v>-6.8840238881921776</v>
      </c>
      <c r="AT19">
        <v>-2024.398618466889</v>
      </c>
      <c r="AU19">
        <v>503</v>
      </c>
      <c r="AV19">
        <v>24.662722610268659</v>
      </c>
      <c r="AW19">
        <v>20</v>
      </c>
      <c r="AX19">
        <v>430</v>
      </c>
    </row>
    <row r="20" spans="1:50">
      <c r="A20">
        <v>375</v>
      </c>
      <c r="B20">
        <v>1</v>
      </c>
      <c r="C20">
        <v>0</v>
      </c>
      <c r="D20">
        <v>19.709220846082861</v>
      </c>
      <c r="E20">
        <v>19.689394967446159</v>
      </c>
      <c r="F20">
        <v>19.77040862437573</v>
      </c>
      <c r="G20">
        <v>19.730649847774519</v>
      </c>
      <c r="H20">
        <v>19.733405483668399</v>
      </c>
      <c r="I20">
        <v>19.70221491704234</v>
      </c>
      <c r="J20">
        <v>19.748908135600999</v>
      </c>
      <c r="K20">
        <v>19.751760176580529</v>
      </c>
      <c r="L20">
        <v>18.705437731829839</v>
      </c>
      <c r="M20">
        <v>21.648302422675741</v>
      </c>
      <c r="N20">
        <v>21.642359699979959</v>
      </c>
      <c r="O20">
        <v>39.170928892850469</v>
      </c>
      <c r="P20">
        <v>39.926739248703029</v>
      </c>
      <c r="Q20">
        <v>36.998581286281407</v>
      </c>
      <c r="R20">
        <v>36.98732453319645</v>
      </c>
      <c r="S20">
        <v>13.994671048316199</v>
      </c>
      <c r="T20">
        <v>-7060.4053181349791</v>
      </c>
      <c r="U20">
        <v>36.924851192233632</v>
      </c>
      <c r="V20">
        <v>37.021401639701978</v>
      </c>
      <c r="W20">
        <v>34.840548127262878</v>
      </c>
      <c r="X20">
        <v>-2006.257157194681</v>
      </c>
      <c r="Y20">
        <v>23.146802821636999</v>
      </c>
      <c r="Z20">
        <v>19.696728796012771</v>
      </c>
      <c r="AA20">
        <v>19.73888987277979</v>
      </c>
      <c r="AB20">
        <v>19.7114699217084</v>
      </c>
      <c r="AC20">
        <v>19.759239072316181</v>
      </c>
      <c r="AD20">
        <v>21.66027701770296</v>
      </c>
      <c r="AE20">
        <v>37.059305521831561</v>
      </c>
      <c r="AF20">
        <v>23.159565422533479</v>
      </c>
      <c r="AG20">
        <v>36.989581862504529</v>
      </c>
      <c r="AH20">
        <v>39.572122001544557</v>
      </c>
      <c r="AI20">
        <v>0.1</v>
      </c>
      <c r="AJ20">
        <v>1.6321516538183209</v>
      </c>
      <c r="AK20">
        <v>16.508174294001339</v>
      </c>
      <c r="AL20">
        <v>12.55465992725585</v>
      </c>
      <c r="AM20">
        <v>1286.1838866488069</v>
      </c>
      <c r="AN20">
        <v>-174.65637146837869</v>
      </c>
      <c r="AO20">
        <v>5.9261286886182312</v>
      </c>
      <c r="AP20">
        <v>5.8136517106904071</v>
      </c>
      <c r="AQ20">
        <v>5.1874961650041183</v>
      </c>
      <c r="AR20">
        <v>-2826.0314849903698</v>
      </c>
      <c r="AS20">
        <v>-6.8840238881921776</v>
      </c>
      <c r="AT20">
        <v>-2024.398618466889</v>
      </c>
      <c r="AU20">
        <v>503</v>
      </c>
      <c r="AV20">
        <v>24.662722610268659</v>
      </c>
      <c r="AW20">
        <v>22.594122296154939</v>
      </c>
      <c r="AX20">
        <v>430</v>
      </c>
    </row>
    <row r="21" spans="1:50">
      <c r="A21">
        <v>435</v>
      </c>
      <c r="B21">
        <v>1</v>
      </c>
      <c r="C21">
        <v>0</v>
      </c>
      <c r="D21">
        <v>20.23459853635644</v>
      </c>
      <c r="E21">
        <v>20.215146228554762</v>
      </c>
      <c r="F21">
        <v>20.297923152996741</v>
      </c>
      <c r="G21">
        <v>20.26054033083518</v>
      </c>
      <c r="H21">
        <v>20.263343460528692</v>
      </c>
      <c r="I21">
        <v>20.213103013859591</v>
      </c>
      <c r="J21">
        <v>20.300956217493528</v>
      </c>
      <c r="K21">
        <v>20.2965272408575</v>
      </c>
      <c r="L21">
        <v>19.126487433697971</v>
      </c>
      <c r="M21">
        <v>22.347632261803131</v>
      </c>
      <c r="N21">
        <v>22.289666494832669</v>
      </c>
      <c r="O21">
        <v>42.964021001910268</v>
      </c>
      <c r="P21">
        <v>43.818060022946817</v>
      </c>
      <c r="Q21">
        <v>40.531772215415899</v>
      </c>
      <c r="R21">
        <v>40.508958822776208</v>
      </c>
      <c r="S21">
        <v>13.159344751110741</v>
      </c>
      <c r="T21">
        <v>-6927.6136031798533</v>
      </c>
      <c r="U21">
        <v>40.231172674403219</v>
      </c>
      <c r="V21">
        <v>40.240285905232703</v>
      </c>
      <c r="W21">
        <v>37.844091598196293</v>
      </c>
      <c r="X21">
        <v>-2004.5501535520041</v>
      </c>
      <c r="Y21">
        <v>24.178844430441021</v>
      </c>
      <c r="Z21">
        <v>20.209394010341718</v>
      </c>
      <c r="AA21">
        <v>20.27214952177431</v>
      </c>
      <c r="AB21">
        <v>20.23097629072555</v>
      </c>
      <c r="AC21">
        <v>20.267652668401389</v>
      </c>
      <c r="AD21">
        <v>22.31703979780568</v>
      </c>
      <c r="AE21">
        <v>40.574793598731297</v>
      </c>
      <c r="AF21">
        <v>24.235751879838091</v>
      </c>
      <c r="AG21">
        <v>40.250067022529407</v>
      </c>
      <c r="AH21">
        <v>43.411224208908408</v>
      </c>
      <c r="AI21">
        <v>0.3</v>
      </c>
      <c r="AJ21">
        <v>1.9813515561002339</v>
      </c>
      <c r="AK21">
        <v>19.081306555846201</v>
      </c>
      <c r="AL21">
        <v>14.63537670097768</v>
      </c>
      <c r="AM21">
        <v>1431.14253362043</v>
      </c>
      <c r="AN21">
        <v>20.937338022558379</v>
      </c>
      <c r="AO21">
        <v>6.8171694432426451</v>
      </c>
      <c r="AP21">
        <v>6.706315537735807</v>
      </c>
      <c r="AQ21">
        <v>5.1874961650041183</v>
      </c>
      <c r="AR21">
        <v>-2826.0314849903698</v>
      </c>
      <c r="AS21">
        <v>-6.8351403742910257</v>
      </c>
      <c r="AT21">
        <v>-2024.484656351472</v>
      </c>
      <c r="AU21">
        <v>503</v>
      </c>
      <c r="AV21">
        <v>25</v>
      </c>
      <c r="AW21">
        <v>25</v>
      </c>
      <c r="AX21">
        <v>490</v>
      </c>
    </row>
    <row r="22" spans="1:50">
      <c r="A22">
        <v>435</v>
      </c>
      <c r="B22">
        <v>1</v>
      </c>
      <c r="C22">
        <v>0</v>
      </c>
      <c r="D22">
        <v>20.23459853635644</v>
      </c>
      <c r="E22">
        <v>20.215146228554762</v>
      </c>
      <c r="F22">
        <v>20.297923152996741</v>
      </c>
      <c r="G22">
        <v>20.26054033083518</v>
      </c>
      <c r="H22">
        <v>20.263343460528692</v>
      </c>
      <c r="I22">
        <v>20.213103013859591</v>
      </c>
      <c r="J22">
        <v>20.300868096711969</v>
      </c>
      <c r="K22">
        <v>20.2965272408575</v>
      </c>
      <c r="L22">
        <v>19.123258916653011</v>
      </c>
      <c r="M22">
        <v>22.33131330830243</v>
      </c>
      <c r="N22">
        <v>22.279067712482021</v>
      </c>
      <c r="O22">
        <v>42.961436367370247</v>
      </c>
      <c r="P22">
        <v>43.807528065149263</v>
      </c>
      <c r="Q22">
        <v>40.522439878341103</v>
      </c>
      <c r="R22">
        <v>40.504201144850107</v>
      </c>
      <c r="S22">
        <v>13.15647641953108</v>
      </c>
      <c r="T22">
        <v>-6927.6136031798533</v>
      </c>
      <c r="U22">
        <v>40.228004230738428</v>
      </c>
      <c r="V22">
        <v>40.236452645173387</v>
      </c>
      <c r="W22">
        <v>37.839595233263807</v>
      </c>
      <c r="X22">
        <v>-2004.545404154997</v>
      </c>
      <c r="Y22">
        <v>24.177535214728771</v>
      </c>
      <c r="Z22">
        <v>20.214239432381941</v>
      </c>
      <c r="AA22">
        <v>20.27214952177431</v>
      </c>
      <c r="AB22">
        <v>20.23097629072555</v>
      </c>
      <c r="AC22">
        <v>20.267652668401389</v>
      </c>
      <c r="AD22">
        <v>22.30478957634632</v>
      </c>
      <c r="AE22">
        <v>40.57115163940032</v>
      </c>
      <c r="AF22">
        <v>24.236559129066499</v>
      </c>
      <c r="AG22">
        <v>40.252073924990881</v>
      </c>
      <c r="AH22">
        <v>43.409423342135533</v>
      </c>
      <c r="AI22">
        <v>0.3</v>
      </c>
      <c r="AJ22">
        <v>1.983642914647211</v>
      </c>
      <c r="AK22">
        <v>19.079709170600651</v>
      </c>
      <c r="AL22">
        <v>14.63617278205596</v>
      </c>
      <c r="AM22">
        <v>1431.5274786680029</v>
      </c>
      <c r="AN22">
        <v>20.975194987745681</v>
      </c>
      <c r="AO22">
        <v>6.8171694432426451</v>
      </c>
      <c r="AP22">
        <v>6.706315537735807</v>
      </c>
      <c r="AQ22">
        <v>5.1874961650041183</v>
      </c>
      <c r="AR22">
        <v>-2826.0314849903698</v>
      </c>
      <c r="AS22">
        <v>-6.8351403742910257</v>
      </c>
      <c r="AT22">
        <v>-2024.484656351472</v>
      </c>
      <c r="AU22">
        <v>503</v>
      </c>
      <c r="AV22">
        <v>27</v>
      </c>
      <c r="AW22">
        <v>25</v>
      </c>
      <c r="AX22">
        <v>490</v>
      </c>
    </row>
    <row r="23" spans="1:50">
      <c r="A23">
        <v>435</v>
      </c>
      <c r="B23">
        <v>1</v>
      </c>
      <c r="C23">
        <v>0</v>
      </c>
      <c r="D23">
        <v>20.23459853635644</v>
      </c>
      <c r="E23">
        <v>20.221000773298659</v>
      </c>
      <c r="F23">
        <v>20.297923152996741</v>
      </c>
      <c r="G23">
        <v>20.26054033083518</v>
      </c>
      <c r="H23">
        <v>20.262995374146151</v>
      </c>
      <c r="I23">
        <v>20.210410610544692</v>
      </c>
      <c r="J23">
        <v>20.300868096711969</v>
      </c>
      <c r="K23">
        <v>20.2965272408575</v>
      </c>
      <c r="L23">
        <v>19.123258916653011</v>
      </c>
      <c r="M23">
        <v>22.32982845823242</v>
      </c>
      <c r="N23">
        <v>22.274389442471961</v>
      </c>
      <c r="O23">
        <v>42.963321390998154</v>
      </c>
      <c r="P23">
        <v>43.812346024173003</v>
      </c>
      <c r="Q23">
        <v>40.538141044983959</v>
      </c>
      <c r="R23">
        <v>40.515628229142699</v>
      </c>
      <c r="S23">
        <v>13.139214407693039</v>
      </c>
      <c r="T23">
        <v>-6927.6169211077422</v>
      </c>
      <c r="U23">
        <v>40.230378898600833</v>
      </c>
      <c r="V23">
        <v>40.235134008302659</v>
      </c>
      <c r="W23">
        <v>37.842885162787567</v>
      </c>
      <c r="X23">
        <v>-2004.539116202742</v>
      </c>
      <c r="Y23">
        <v>24.16804274776613</v>
      </c>
      <c r="Z23">
        <v>20.212283888047871</v>
      </c>
      <c r="AA23">
        <v>20.27214952177431</v>
      </c>
      <c r="AB23">
        <v>20.227887500718978</v>
      </c>
      <c r="AC23">
        <v>20.267652668401389</v>
      </c>
      <c r="AD23">
        <v>22.29816478912295</v>
      </c>
      <c r="AE23">
        <v>40.581300836482967</v>
      </c>
      <c r="AF23">
        <v>24.220045322110579</v>
      </c>
      <c r="AG23">
        <v>40.249683129450901</v>
      </c>
      <c r="AH23">
        <v>43.41617277675666</v>
      </c>
      <c r="AI23">
        <v>0.3</v>
      </c>
      <c r="AJ23">
        <v>1.981319682305712</v>
      </c>
      <c r="AK23">
        <v>19.08374640298462</v>
      </c>
      <c r="AL23">
        <v>14.634793277149139</v>
      </c>
      <c r="AM23">
        <v>1431.733515107218</v>
      </c>
      <c r="AN23">
        <v>21.088276753902161</v>
      </c>
      <c r="AO23">
        <v>6.8171694432426451</v>
      </c>
      <c r="AP23">
        <v>6.706315537735807</v>
      </c>
      <c r="AQ23">
        <v>5.1874961650041183</v>
      </c>
      <c r="AR23">
        <v>-2826.0314849903698</v>
      </c>
      <c r="AS23">
        <v>-6.8422642573951613</v>
      </c>
      <c r="AT23">
        <v>-2024.4830661204739</v>
      </c>
      <c r="AU23">
        <v>503</v>
      </c>
      <c r="AV23">
        <v>27</v>
      </c>
      <c r="AW23">
        <v>28.313613051343282</v>
      </c>
      <c r="AX23">
        <v>490</v>
      </c>
    </row>
    <row r="24" spans="1:50">
      <c r="A24">
        <v>495</v>
      </c>
      <c r="B24">
        <v>1</v>
      </c>
      <c r="C24">
        <v>0</v>
      </c>
      <c r="D24">
        <v>20.948115032010499</v>
      </c>
      <c r="E24">
        <v>20.916550251250161</v>
      </c>
      <c r="F24">
        <v>21.02068169350542</v>
      </c>
      <c r="G24">
        <v>20.967600856141061</v>
      </c>
      <c r="H24">
        <v>20.96274069431443</v>
      </c>
      <c r="I24">
        <v>20.921668960339488</v>
      </c>
      <c r="J24">
        <v>21.010830930620831</v>
      </c>
      <c r="K24">
        <v>21.008430839621159</v>
      </c>
      <c r="L24">
        <v>19.62677373547368</v>
      </c>
      <c r="M24">
        <v>22.982195370143732</v>
      </c>
      <c r="N24">
        <v>22.91622925773823</v>
      </c>
      <c r="O24">
        <v>46.767843082586147</v>
      </c>
      <c r="P24">
        <v>47.409362208042772</v>
      </c>
      <c r="Q24">
        <v>43.978564439476663</v>
      </c>
      <c r="R24">
        <v>43.87865335825424</v>
      </c>
      <c r="S24">
        <v>12.33971831917184</v>
      </c>
      <c r="T24">
        <v>-6927.6301925514081</v>
      </c>
      <c r="U24">
        <v>43.320246429401337</v>
      </c>
      <c r="V24">
        <v>43.327031875963137</v>
      </c>
      <c r="W24">
        <v>40.676121693367008</v>
      </c>
      <c r="X24">
        <v>-2002.6761874793599</v>
      </c>
      <c r="Y24">
        <v>25.120557713082722</v>
      </c>
      <c r="Z24">
        <v>20.94620634692151</v>
      </c>
      <c r="AA24">
        <v>20.971183936407559</v>
      </c>
      <c r="AB24">
        <v>20.91289314740062</v>
      </c>
      <c r="AC24">
        <v>20.990826742575791</v>
      </c>
      <c r="AD24">
        <v>22.946980109854369</v>
      </c>
      <c r="AE24">
        <v>43.968109402556912</v>
      </c>
      <c r="AF24">
        <v>25.127167583564489</v>
      </c>
      <c r="AG24">
        <v>43.34276767113257</v>
      </c>
      <c r="AH24">
        <v>47.116244407137337</v>
      </c>
      <c r="AI24">
        <v>0.2</v>
      </c>
      <c r="AJ24">
        <v>2.2610912700320478</v>
      </c>
      <c r="AK24">
        <v>21.721827478006759</v>
      </c>
      <c r="AL24">
        <v>16.739854241929031</v>
      </c>
      <c r="AM24">
        <v>1584.8735610894551</v>
      </c>
      <c r="AN24">
        <v>190.39661317485519</v>
      </c>
      <c r="AO24">
        <v>7.4531482471875163</v>
      </c>
      <c r="AP24">
        <v>7.3981129562395411</v>
      </c>
      <c r="AQ24">
        <v>5.1874961650041183</v>
      </c>
      <c r="AR24">
        <v>-2826.0314849903698</v>
      </c>
      <c r="AS24">
        <v>-6.6793371834699542</v>
      </c>
      <c r="AT24">
        <v>-2024.4597858892421</v>
      </c>
      <c r="AU24">
        <v>503</v>
      </c>
      <c r="AV24">
        <v>27</v>
      </c>
      <c r="AW24">
        <v>30</v>
      </c>
      <c r="AX24">
        <v>515</v>
      </c>
    </row>
    <row r="25" spans="1:50">
      <c r="A25">
        <v>495</v>
      </c>
      <c r="B25">
        <v>1</v>
      </c>
      <c r="C25">
        <v>0</v>
      </c>
      <c r="D25">
        <v>20.94742900960264</v>
      </c>
      <c r="E25">
        <v>20.918233597883351</v>
      </c>
      <c r="F25">
        <v>21.02068169350542</v>
      </c>
      <c r="G25">
        <v>20.967600856141061</v>
      </c>
      <c r="H25">
        <v>20.96274069431443</v>
      </c>
      <c r="I25">
        <v>20.921668960339488</v>
      </c>
      <c r="J25">
        <v>21.010830930620831</v>
      </c>
      <c r="K25">
        <v>21.008430839621159</v>
      </c>
      <c r="L25">
        <v>19.62677373547368</v>
      </c>
      <c r="M25">
        <v>22.981079652012269</v>
      </c>
      <c r="N25">
        <v>22.905920125375719</v>
      </c>
      <c r="O25">
        <v>46.725580993114477</v>
      </c>
      <c r="P25">
        <v>47.394112060111631</v>
      </c>
      <c r="Q25">
        <v>43.965199722554132</v>
      </c>
      <c r="R25">
        <v>43.864402764736717</v>
      </c>
      <c r="S25">
        <v>12.34160230360353</v>
      </c>
      <c r="T25">
        <v>-6972.3186276137703</v>
      </c>
      <c r="U25">
        <v>43.309731401590753</v>
      </c>
      <c r="V25">
        <v>43.31628976976998</v>
      </c>
      <c r="W25">
        <v>40.660736086912188</v>
      </c>
      <c r="X25">
        <v>-2002.677763633058</v>
      </c>
      <c r="Y25">
        <v>25.123042481706861</v>
      </c>
      <c r="Z25">
        <v>20.947034309930029</v>
      </c>
      <c r="AA25">
        <v>20.973024609874599</v>
      </c>
      <c r="AB25">
        <v>20.91289314740062</v>
      </c>
      <c r="AC25">
        <v>20.99495342025978</v>
      </c>
      <c r="AD25">
        <v>22.96314815158081</v>
      </c>
      <c r="AE25">
        <v>43.955719056821138</v>
      </c>
      <c r="AF25">
        <v>25.141668317636661</v>
      </c>
      <c r="AG25">
        <v>43.333174383639303</v>
      </c>
      <c r="AH25">
        <v>47.10562988347818</v>
      </c>
      <c r="AI25">
        <v>0.2</v>
      </c>
      <c r="AJ25">
        <v>2.2610912700320478</v>
      </c>
      <c r="AK25">
        <v>21.71895972713617</v>
      </c>
      <c r="AL25">
        <v>16.733972158614211</v>
      </c>
      <c r="AM25">
        <v>1585.038297248773</v>
      </c>
      <c r="AN25">
        <v>190.58291787546139</v>
      </c>
      <c r="AO25">
        <v>7.4531482471875163</v>
      </c>
      <c r="AP25">
        <v>7.3981129562395411</v>
      </c>
      <c r="AQ25">
        <v>5.1874961650041183</v>
      </c>
      <c r="AR25">
        <v>-2826.0314849903698</v>
      </c>
      <c r="AS25">
        <v>-6.6793371834699542</v>
      </c>
      <c r="AT25">
        <v>-2024.4597858892421</v>
      </c>
      <c r="AU25">
        <v>503</v>
      </c>
      <c r="AV25">
        <v>27</v>
      </c>
      <c r="AW25">
        <v>30</v>
      </c>
      <c r="AX25">
        <v>515</v>
      </c>
    </row>
    <row r="26" spans="1:50">
      <c r="A26">
        <v>495</v>
      </c>
      <c r="B26">
        <v>1</v>
      </c>
      <c r="C26">
        <v>0</v>
      </c>
      <c r="D26">
        <v>20.94742900960264</v>
      </c>
      <c r="E26">
        <v>20.91886100561792</v>
      </c>
      <c r="F26">
        <v>21.02068169350542</v>
      </c>
      <c r="G26">
        <v>20.967600856141061</v>
      </c>
      <c r="H26">
        <v>20.960012967757311</v>
      </c>
      <c r="I26">
        <v>20.921668960339488</v>
      </c>
      <c r="J26">
        <v>21.01496921817531</v>
      </c>
      <c r="K26">
        <v>21.008430839621159</v>
      </c>
      <c r="L26">
        <v>19.627343703789361</v>
      </c>
      <c r="M26">
        <v>22.980876992192449</v>
      </c>
      <c r="N26">
        <v>22.901834282942009</v>
      </c>
      <c r="O26">
        <v>46.600789650798433</v>
      </c>
      <c r="P26">
        <v>47.38814401661287</v>
      </c>
      <c r="Q26">
        <v>43.945933819946681</v>
      </c>
      <c r="R26">
        <v>43.891694446190193</v>
      </c>
      <c r="S26">
        <v>12.35469851104321</v>
      </c>
      <c r="T26">
        <v>-6972.3287778333224</v>
      </c>
      <c r="U26">
        <v>43.311190005483347</v>
      </c>
      <c r="V26">
        <v>43.318293825225581</v>
      </c>
      <c r="W26">
        <v>40.661309322009018</v>
      </c>
      <c r="X26">
        <v>-2002.6745910138879</v>
      </c>
      <c r="Y26">
        <v>25.14411014920384</v>
      </c>
      <c r="Z26">
        <v>20.947034309930029</v>
      </c>
      <c r="AA26">
        <v>20.973024609874599</v>
      </c>
      <c r="AB26">
        <v>20.91289314740062</v>
      </c>
      <c r="AC26">
        <v>20.99495342025978</v>
      </c>
      <c r="AD26">
        <v>22.955927036673291</v>
      </c>
      <c r="AE26">
        <v>43.961085111939447</v>
      </c>
      <c r="AF26">
        <v>25.150839292962051</v>
      </c>
      <c r="AG26">
        <v>43.335673320504718</v>
      </c>
      <c r="AH26">
        <v>47.041003619242836</v>
      </c>
      <c r="AI26">
        <v>0.2</v>
      </c>
      <c r="AJ26">
        <v>2.2590164730185811</v>
      </c>
      <c r="AK26">
        <v>21.718683449692659</v>
      </c>
      <c r="AL26">
        <v>16.70875989520361</v>
      </c>
      <c r="AM26">
        <v>1585.0903144991489</v>
      </c>
      <c r="AN26">
        <v>190.564886049704</v>
      </c>
      <c r="AO26">
        <v>7.4531482471875163</v>
      </c>
      <c r="AP26">
        <v>7.3981129562395411</v>
      </c>
      <c r="AQ26">
        <v>5.1874961650041183</v>
      </c>
      <c r="AR26">
        <v>-2826.0314849903698</v>
      </c>
      <c r="AS26">
        <v>-6.6793371834699542</v>
      </c>
      <c r="AT26">
        <v>-2024.4613660053701</v>
      </c>
      <c r="AU26">
        <v>503</v>
      </c>
      <c r="AV26">
        <v>27</v>
      </c>
      <c r="AW26">
        <v>-2.8366966480455051</v>
      </c>
      <c r="AX26">
        <v>515</v>
      </c>
    </row>
    <row r="27" spans="1:50">
      <c r="A27">
        <v>525</v>
      </c>
      <c r="B27">
        <v>1</v>
      </c>
      <c r="C27">
        <v>0</v>
      </c>
      <c r="D27">
        <v>21.140392111567291</v>
      </c>
      <c r="E27">
        <v>21.105951593978968</v>
      </c>
      <c r="F27">
        <v>21.191776509740571</v>
      </c>
      <c r="G27">
        <v>21.139247861036729</v>
      </c>
      <c r="H27">
        <v>21.133684139557321</v>
      </c>
      <c r="I27">
        <v>21.086761210570678</v>
      </c>
      <c r="J27">
        <v>21.170715290056311</v>
      </c>
      <c r="K27">
        <v>21.178856468186499</v>
      </c>
      <c r="L27">
        <v>19.88762894623909</v>
      </c>
      <c r="M27">
        <v>20.922004643148799</v>
      </c>
      <c r="N27">
        <v>20.8883915197185</v>
      </c>
      <c r="O27">
        <v>32.437914984965438</v>
      </c>
      <c r="P27">
        <v>32.816423516233563</v>
      </c>
      <c r="Q27">
        <v>30.514708494725411</v>
      </c>
      <c r="R27">
        <v>30.62364783706991</v>
      </c>
      <c r="S27">
        <v>15.30856954245483</v>
      </c>
      <c r="T27">
        <v>-6813.259286072278</v>
      </c>
      <c r="U27">
        <v>31.233406028688272</v>
      </c>
      <c r="V27">
        <v>31.416080345373519</v>
      </c>
      <c r="W27">
        <v>29.715076433245049</v>
      </c>
      <c r="X27">
        <v>-2007.8651234342051</v>
      </c>
      <c r="Y27">
        <v>21.864049092954598</v>
      </c>
      <c r="Z27">
        <v>21.11548228922905</v>
      </c>
      <c r="AA27">
        <v>21.149625906754359</v>
      </c>
      <c r="AB27">
        <v>21.119069462671639</v>
      </c>
      <c r="AC27">
        <v>21.166061873239329</v>
      </c>
      <c r="AD27">
        <v>20.921429170259689</v>
      </c>
      <c r="AE27">
        <v>30.623566970796251</v>
      </c>
      <c r="AF27">
        <v>21.865620358495288</v>
      </c>
      <c r="AG27">
        <v>31.34598938344736</v>
      </c>
      <c r="AH27">
        <v>32.666356804556308</v>
      </c>
      <c r="AI27">
        <v>0.1</v>
      </c>
      <c r="AJ27">
        <v>1.113939045850235</v>
      </c>
      <c r="AK27">
        <v>10.90129732625547</v>
      </c>
      <c r="AL27">
        <v>8.255803244512288</v>
      </c>
      <c r="AM27">
        <v>1047.886145574329</v>
      </c>
      <c r="AN27">
        <v>-479.44132325482309</v>
      </c>
      <c r="AO27">
        <v>4.784983548603269</v>
      </c>
      <c r="AP27">
        <v>4.7536367620110864</v>
      </c>
      <c r="AQ27">
        <v>5.1874961650041183</v>
      </c>
      <c r="AR27">
        <v>-2826.0314849903698</v>
      </c>
      <c r="AS27">
        <v>-7.0754339777578252</v>
      </c>
      <c r="AT27">
        <v>-2024.423688627651</v>
      </c>
      <c r="AU27">
        <v>503</v>
      </c>
      <c r="AV27">
        <v>27</v>
      </c>
      <c r="AW27">
        <v>5</v>
      </c>
      <c r="AX27">
        <v>160</v>
      </c>
    </row>
    <row r="28" spans="1:50">
      <c r="A28">
        <v>525</v>
      </c>
      <c r="B28">
        <v>1</v>
      </c>
      <c r="C28">
        <v>0</v>
      </c>
      <c r="D28">
        <v>21.140392111567291</v>
      </c>
      <c r="E28">
        <v>21.105951593978968</v>
      </c>
      <c r="F28">
        <v>21.191776509740571</v>
      </c>
      <c r="G28">
        <v>21.139247861036729</v>
      </c>
      <c r="H28">
        <v>21.133684139557321</v>
      </c>
      <c r="I28">
        <v>21.086761210570678</v>
      </c>
      <c r="J28">
        <v>21.177314511105362</v>
      </c>
      <c r="K28">
        <v>21.178856468186499</v>
      </c>
      <c r="L28">
        <v>19.88762894623909</v>
      </c>
      <c r="M28">
        <v>20.92682420705156</v>
      </c>
      <c r="N28">
        <v>20.899036379439941</v>
      </c>
      <c r="O28">
        <v>32.437002268164349</v>
      </c>
      <c r="P28">
        <v>32.814111747652753</v>
      </c>
      <c r="Q28">
        <v>30.516880627436311</v>
      </c>
      <c r="R28">
        <v>30.632181076299268</v>
      </c>
      <c r="S28">
        <v>15.315850934807861</v>
      </c>
      <c r="T28">
        <v>-6813.259286072278</v>
      </c>
      <c r="U28">
        <v>31.225773356815601</v>
      </c>
      <c r="V28">
        <v>31.419103385030329</v>
      </c>
      <c r="W28">
        <v>29.70755872499873</v>
      </c>
      <c r="X28">
        <v>-2007.8651224195389</v>
      </c>
      <c r="Y28">
        <v>21.870437783788969</v>
      </c>
      <c r="Z28">
        <v>21.11548228922905</v>
      </c>
      <c r="AA28">
        <v>21.149625906754359</v>
      </c>
      <c r="AB28">
        <v>21.119069462671639</v>
      </c>
      <c r="AC28">
        <v>21.166061873239329</v>
      </c>
      <c r="AD28">
        <v>20.927771448297001</v>
      </c>
      <c r="AE28">
        <v>30.629610007585679</v>
      </c>
      <c r="AF28">
        <v>21.868486720356309</v>
      </c>
      <c r="AG28">
        <v>31.34598938344736</v>
      </c>
      <c r="AH28">
        <v>32.670505235877023</v>
      </c>
      <c r="AI28">
        <v>0.1</v>
      </c>
      <c r="AJ28">
        <v>1.114891139237502</v>
      </c>
      <c r="AK28">
        <v>10.90724879541844</v>
      </c>
      <c r="AL28">
        <v>8.255803244512288</v>
      </c>
      <c r="AM28">
        <v>1047.333125105491</v>
      </c>
      <c r="AN28">
        <v>-479.69290462451698</v>
      </c>
      <c r="AO28">
        <v>4.784983548603269</v>
      </c>
      <c r="AP28">
        <v>4.7536367620110864</v>
      </c>
      <c r="AQ28">
        <v>5.1874961650041183</v>
      </c>
      <c r="AR28">
        <v>-2826.0314849903698</v>
      </c>
      <c r="AS28">
        <v>-7.0754339777578252</v>
      </c>
      <c r="AT28">
        <v>-2024.423688627651</v>
      </c>
      <c r="AU28">
        <v>503</v>
      </c>
      <c r="AV28">
        <v>27</v>
      </c>
      <c r="AW28">
        <v>5</v>
      </c>
      <c r="AX28">
        <v>160</v>
      </c>
    </row>
    <row r="29" spans="1:50">
      <c r="A29">
        <v>525</v>
      </c>
      <c r="B29">
        <v>1</v>
      </c>
      <c r="C29">
        <v>0</v>
      </c>
      <c r="D29">
        <v>21.140392111567291</v>
      </c>
      <c r="E29">
        <v>21.105951593978968</v>
      </c>
      <c r="F29">
        <v>21.191776509740571</v>
      </c>
      <c r="G29">
        <v>21.14288803637336</v>
      </c>
      <c r="H29">
        <v>21.133684139557321</v>
      </c>
      <c r="I29">
        <v>21.086761210570678</v>
      </c>
      <c r="J29">
        <v>21.177314511105362</v>
      </c>
      <c r="K29">
        <v>21.178856468186499</v>
      </c>
      <c r="L29">
        <v>19.88762894623909</v>
      </c>
      <c r="M29">
        <v>20.929623614616009</v>
      </c>
      <c r="N29">
        <v>20.905842642241229</v>
      </c>
      <c r="O29">
        <v>32.434997584912253</v>
      </c>
      <c r="P29">
        <v>32.82827533841612</v>
      </c>
      <c r="Q29">
        <v>30.529711254791501</v>
      </c>
      <c r="R29">
        <v>30.639384369784882</v>
      </c>
      <c r="S29">
        <v>15.31835179694051</v>
      </c>
      <c r="T29">
        <v>-6813.2624729187792</v>
      </c>
      <c r="U29">
        <v>31.244991020899139</v>
      </c>
      <c r="V29">
        <v>31.428072429275119</v>
      </c>
      <c r="W29">
        <v>29.709819669473362</v>
      </c>
      <c r="X29">
        <v>-2007.8635292690931</v>
      </c>
      <c r="Y29">
        <v>21.867020009051391</v>
      </c>
      <c r="Z29">
        <v>21.11548228922905</v>
      </c>
      <c r="AA29">
        <v>21.155388453243599</v>
      </c>
      <c r="AB29">
        <v>21.119069462671639</v>
      </c>
      <c r="AC29">
        <v>21.166061873239329</v>
      </c>
      <c r="AD29">
        <v>20.936530219627532</v>
      </c>
      <c r="AE29">
        <v>30.637460514977089</v>
      </c>
      <c r="AF29">
        <v>21.868486720356309</v>
      </c>
      <c r="AG29">
        <v>31.350440886044979</v>
      </c>
      <c r="AH29">
        <v>32.667188388401946</v>
      </c>
      <c r="AI29">
        <v>0.1</v>
      </c>
      <c r="AJ29">
        <v>1.1102507581378509</v>
      </c>
      <c r="AK29">
        <v>10.90212544534455</v>
      </c>
      <c r="AL29">
        <v>8.2516061324189991</v>
      </c>
      <c r="AM29">
        <v>1047.3717416991999</v>
      </c>
      <c r="AN29">
        <v>-480.1320898192987</v>
      </c>
      <c r="AO29">
        <v>4.784983548603269</v>
      </c>
      <c r="AP29">
        <v>4.7536367620110864</v>
      </c>
      <c r="AQ29">
        <v>5.1874961650041183</v>
      </c>
      <c r="AR29">
        <v>-2826.0314849903698</v>
      </c>
      <c r="AS29">
        <v>-7.0739021885371152</v>
      </c>
      <c r="AT29">
        <v>-2024.423688627651</v>
      </c>
      <c r="AU29">
        <v>503</v>
      </c>
      <c r="AV29">
        <v>27</v>
      </c>
      <c r="AW29">
        <v>-4.2900683917021487</v>
      </c>
      <c r="AX29">
        <v>160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29"/>
  <sheetViews>
    <sheetView topLeftCell="AH1" workbookViewId="0">
      <selection activeCell="BA25" sqref="BA25"/>
    </sheetView>
  </sheetViews>
  <sheetFormatPr defaultRowHeight="14.45"/>
  <sheetData>
    <row r="1" spans="1:50">
      <c r="A1" s="15" t="s">
        <v>19</v>
      </c>
      <c r="B1" s="15" t="s">
        <v>20</v>
      </c>
      <c r="C1" s="15" t="s">
        <v>21</v>
      </c>
      <c r="D1" s="15" t="s">
        <v>22</v>
      </c>
      <c r="E1" s="15" t="s">
        <v>23</v>
      </c>
      <c r="F1" s="15" t="s">
        <v>24</v>
      </c>
      <c r="G1" s="15" t="s">
        <v>25</v>
      </c>
      <c r="H1" s="15" t="s">
        <v>26</v>
      </c>
      <c r="I1" s="15" t="s">
        <v>27</v>
      </c>
      <c r="J1" s="15" t="s">
        <v>28</v>
      </c>
      <c r="K1" s="15" t="s">
        <v>29</v>
      </c>
      <c r="L1" s="15" t="s">
        <v>30</v>
      </c>
      <c r="M1" s="15" t="s">
        <v>31</v>
      </c>
      <c r="N1" s="15" t="s">
        <v>32</v>
      </c>
      <c r="O1" s="15" t="s">
        <v>33</v>
      </c>
      <c r="P1" s="15" t="s">
        <v>34</v>
      </c>
      <c r="Q1" s="15" t="s">
        <v>35</v>
      </c>
      <c r="R1" s="15" t="s">
        <v>36</v>
      </c>
      <c r="S1" s="15" t="s">
        <v>37</v>
      </c>
      <c r="T1" s="15" t="s">
        <v>38</v>
      </c>
      <c r="U1" s="15" t="s">
        <v>39</v>
      </c>
      <c r="V1" s="15" t="s">
        <v>40</v>
      </c>
      <c r="W1" s="15" t="s">
        <v>41</v>
      </c>
      <c r="X1" s="15" t="s">
        <v>42</v>
      </c>
      <c r="Y1" s="15" t="s">
        <v>43</v>
      </c>
      <c r="Z1" s="15" t="s">
        <v>44</v>
      </c>
      <c r="AA1" s="15" t="s">
        <v>45</v>
      </c>
      <c r="AB1" s="15" t="s">
        <v>46</v>
      </c>
      <c r="AC1" s="15" t="s">
        <v>47</v>
      </c>
      <c r="AD1" s="15" t="s">
        <v>48</v>
      </c>
      <c r="AE1" s="15" t="s">
        <v>49</v>
      </c>
      <c r="AF1" s="15" t="s">
        <v>50</v>
      </c>
      <c r="AG1" s="15" t="s">
        <v>51</v>
      </c>
      <c r="AH1" s="15" t="s">
        <v>52</v>
      </c>
      <c r="AI1" s="15" t="s">
        <v>53</v>
      </c>
      <c r="AJ1" s="15" t="s">
        <v>54</v>
      </c>
      <c r="AK1" s="15" t="s">
        <v>55</v>
      </c>
      <c r="AL1" s="15" t="s">
        <v>56</v>
      </c>
      <c r="AM1" s="15" t="s">
        <v>57</v>
      </c>
      <c r="AN1" s="15" t="s">
        <v>58</v>
      </c>
      <c r="AO1" s="15" t="s">
        <v>59</v>
      </c>
      <c r="AP1" s="15" t="s">
        <v>60</v>
      </c>
      <c r="AQ1" s="15" t="s">
        <v>61</v>
      </c>
      <c r="AR1" s="15" t="s">
        <v>62</v>
      </c>
      <c r="AS1" s="15" t="s">
        <v>63</v>
      </c>
      <c r="AT1" s="15" t="s">
        <v>64</v>
      </c>
      <c r="AU1" s="15" t="s">
        <v>65</v>
      </c>
      <c r="AV1" s="15" t="s">
        <v>66</v>
      </c>
      <c r="AW1" s="15" t="s">
        <v>67</v>
      </c>
      <c r="AX1" s="15" t="s">
        <v>68</v>
      </c>
    </row>
    <row r="2" spans="1:50">
      <c r="A2">
        <v>15</v>
      </c>
      <c r="B2">
        <v>1</v>
      </c>
      <c r="C2">
        <v>0</v>
      </c>
      <c r="D2">
        <v>37.392297972846407</v>
      </c>
      <c r="E2">
        <v>37.43786466344055</v>
      </c>
      <c r="F2">
        <v>37.392510638325057</v>
      </c>
      <c r="G2">
        <v>37.378504396717382</v>
      </c>
      <c r="H2">
        <v>37.356478002059262</v>
      </c>
      <c r="I2">
        <v>37.414784070128484</v>
      </c>
      <c r="J2">
        <v>37.342331228948623</v>
      </c>
      <c r="K2">
        <v>37.382742981127727</v>
      </c>
      <c r="L2">
        <v>35.803476054712441</v>
      </c>
      <c r="M2">
        <v>30.303351684425799</v>
      </c>
      <c r="N2">
        <v>30.231432745395171</v>
      </c>
      <c r="O2">
        <v>50.285084651079508</v>
      </c>
      <c r="P2">
        <v>50.456602212404391</v>
      </c>
      <c r="Q2">
        <v>47.014097742326904</v>
      </c>
      <c r="R2">
        <v>46.934683892253432</v>
      </c>
      <c r="S2">
        <v>23.79630811501892</v>
      </c>
      <c r="T2">
        <v>10561.189325968549</v>
      </c>
      <c r="U2">
        <v>46.987302062678211</v>
      </c>
      <c r="V2">
        <v>46.815047163737617</v>
      </c>
      <c r="W2">
        <v>44.496150976855773</v>
      </c>
      <c r="X2">
        <v>2215.8031791729359</v>
      </c>
      <c r="Y2">
        <v>31.91696366357947</v>
      </c>
      <c r="Z2">
        <v>37.411564560377158</v>
      </c>
      <c r="AA2">
        <v>37.369322340594017</v>
      </c>
      <c r="AB2">
        <v>37.391100923565197</v>
      </c>
      <c r="AC2">
        <v>37.325404197150547</v>
      </c>
      <c r="AD2">
        <v>30.261105918767988</v>
      </c>
      <c r="AE2">
        <v>46.930896556554323</v>
      </c>
      <c r="AF2">
        <v>31.811055059601049</v>
      </c>
      <c r="AG2">
        <v>46.917924659808321</v>
      </c>
      <c r="AH2">
        <v>50.34167144130258</v>
      </c>
      <c r="AI2">
        <v>4.0285265042146321</v>
      </c>
      <c r="AJ2">
        <v>2.7694552101709631</v>
      </c>
      <c r="AK2">
        <v>2220.8600151765031</v>
      </c>
      <c r="AL2">
        <v>2218.4294332812042</v>
      </c>
      <c r="AM2">
        <v>2357.713329670069</v>
      </c>
      <c r="AN2">
        <v>3176.6346748765131</v>
      </c>
      <c r="AO2">
        <v>8.610300537106788</v>
      </c>
      <c r="AP2">
        <v>8.5978205582389915</v>
      </c>
      <c r="AQ2">
        <v>14.328077048936819</v>
      </c>
      <c r="AR2">
        <v>3157.3902833601842</v>
      </c>
      <c r="AS2">
        <v>42.636855177667613</v>
      </c>
      <c r="AT2">
        <v>2225.2398703891809</v>
      </c>
      <c r="AU2">
        <v>503</v>
      </c>
      <c r="AV2">
        <v>27.408270404895539</v>
      </c>
      <c r="AW2">
        <v>5</v>
      </c>
      <c r="AX2">
        <v>243.76255376391751</v>
      </c>
    </row>
    <row r="3" spans="1:50">
      <c r="A3">
        <v>75</v>
      </c>
      <c r="B3">
        <v>1</v>
      </c>
      <c r="C3">
        <v>0</v>
      </c>
      <c r="D3">
        <v>37.570318231215211</v>
      </c>
      <c r="E3">
        <v>37.612594093924081</v>
      </c>
      <c r="F3">
        <v>37.563426295602341</v>
      </c>
      <c r="G3">
        <v>37.57320942512257</v>
      </c>
      <c r="H3">
        <v>37.518309505211803</v>
      </c>
      <c r="I3">
        <v>37.571057608996242</v>
      </c>
      <c r="J3">
        <v>37.568531583020373</v>
      </c>
      <c r="K3">
        <v>37.558021145110821</v>
      </c>
      <c r="L3">
        <v>36.134911586887817</v>
      </c>
      <c r="M3">
        <v>29.43842795906297</v>
      </c>
      <c r="N3">
        <v>29.36846817395416</v>
      </c>
      <c r="O3">
        <v>43.417893733241222</v>
      </c>
      <c r="P3">
        <v>43.339250171823338</v>
      </c>
      <c r="Q3">
        <v>40.783123920233763</v>
      </c>
      <c r="R3">
        <v>40.749842223714332</v>
      </c>
      <c r="S3">
        <v>23.731196421623249</v>
      </c>
      <c r="T3">
        <v>10360.484567597159</v>
      </c>
      <c r="U3">
        <v>41.434022763068327</v>
      </c>
      <c r="V3">
        <v>41.294528449935989</v>
      </c>
      <c r="W3">
        <v>39.474834492101039</v>
      </c>
      <c r="X3">
        <v>2215.5111207265909</v>
      </c>
      <c r="Y3">
        <v>30.923072066956589</v>
      </c>
      <c r="Z3">
        <v>37.566608362037158</v>
      </c>
      <c r="AA3">
        <v>37.559737972190653</v>
      </c>
      <c r="AB3">
        <v>37.527258687656747</v>
      </c>
      <c r="AC3">
        <v>37.551453515993387</v>
      </c>
      <c r="AD3">
        <v>29.40030266395355</v>
      </c>
      <c r="AE3">
        <v>40.687960354845423</v>
      </c>
      <c r="AF3">
        <v>30.798403739164321</v>
      </c>
      <c r="AG3">
        <v>41.316532584012492</v>
      </c>
      <c r="AH3">
        <v>43.359830972167018</v>
      </c>
      <c r="AI3">
        <v>3.4626528466766331</v>
      </c>
      <c r="AJ3">
        <v>2.389040377561769</v>
      </c>
      <c r="AK3">
        <v>15.237565621122069</v>
      </c>
      <c r="AL3">
        <v>11.81214982314672</v>
      </c>
      <c r="AM3">
        <v>1885.5765732247939</v>
      </c>
      <c r="AN3">
        <v>3006.6504237485251</v>
      </c>
      <c r="AO3">
        <v>6.105916084597018</v>
      </c>
      <c r="AP3">
        <v>6.105916084597018</v>
      </c>
      <c r="AQ3">
        <v>14.33229704925928</v>
      </c>
      <c r="AR3">
        <v>3157.4141856043971</v>
      </c>
      <c r="AS3">
        <v>42.629368114346313</v>
      </c>
      <c r="AT3">
        <v>2225.250412553457</v>
      </c>
      <c r="AU3">
        <v>503</v>
      </c>
      <c r="AV3">
        <v>21</v>
      </c>
      <c r="AW3">
        <v>5</v>
      </c>
      <c r="AX3">
        <v>160</v>
      </c>
    </row>
    <row r="4" spans="1:50">
      <c r="A4">
        <v>75</v>
      </c>
      <c r="B4">
        <v>1</v>
      </c>
      <c r="C4">
        <v>0</v>
      </c>
      <c r="D4">
        <v>37.570318231215211</v>
      </c>
      <c r="E4">
        <v>37.612594093924081</v>
      </c>
      <c r="F4">
        <v>37.563426295602341</v>
      </c>
      <c r="G4">
        <v>37.570761276090508</v>
      </c>
      <c r="H4">
        <v>37.517272018281567</v>
      </c>
      <c r="I4">
        <v>37.570142170009483</v>
      </c>
      <c r="J4">
        <v>37.568531583020373</v>
      </c>
      <c r="K4">
        <v>37.558021145110821</v>
      </c>
      <c r="L4">
        <v>36.134911586887817</v>
      </c>
      <c r="M4">
        <v>29.426586847761339</v>
      </c>
      <c r="N4">
        <v>29.359573862231951</v>
      </c>
      <c r="O4">
        <v>43.418818817973609</v>
      </c>
      <c r="P4">
        <v>43.337697885042957</v>
      </c>
      <c r="Q4">
        <v>40.789249619386503</v>
      </c>
      <c r="R4">
        <v>40.762045050084502</v>
      </c>
      <c r="S4">
        <v>23.735444074784851</v>
      </c>
      <c r="T4">
        <v>10360.485504568671</v>
      </c>
      <c r="U4">
        <v>41.444582975497973</v>
      </c>
      <c r="V4">
        <v>41.304656501203937</v>
      </c>
      <c r="W4">
        <v>39.477277966585433</v>
      </c>
      <c r="X4">
        <v>2215.511913064362</v>
      </c>
      <c r="Y4">
        <v>30.915437447006031</v>
      </c>
      <c r="Z4">
        <v>37.566608362037158</v>
      </c>
      <c r="AA4">
        <v>37.559737972190653</v>
      </c>
      <c r="AB4">
        <v>37.524745336323171</v>
      </c>
      <c r="AC4">
        <v>37.551453515993387</v>
      </c>
      <c r="AD4">
        <v>29.391606357939391</v>
      </c>
      <c r="AE4">
        <v>40.70406364497159</v>
      </c>
      <c r="AF4">
        <v>30.785750643103771</v>
      </c>
      <c r="AG4">
        <v>41.325816545094682</v>
      </c>
      <c r="AH4">
        <v>43.360124421162809</v>
      </c>
      <c r="AI4">
        <v>3.4637168711961732</v>
      </c>
      <c r="AJ4">
        <v>2.389040377561769</v>
      </c>
      <c r="AK4">
        <v>15.24232098638443</v>
      </c>
      <c r="AL4">
        <v>11.810478285154581</v>
      </c>
      <c r="AM4">
        <v>1885.4860094843641</v>
      </c>
      <c r="AN4">
        <v>3006.6010066909112</v>
      </c>
      <c r="AO4">
        <v>6.105916084597018</v>
      </c>
      <c r="AP4">
        <v>6.105916084597018</v>
      </c>
      <c r="AQ4">
        <v>14.33229704925928</v>
      </c>
      <c r="AR4">
        <v>3157.4135528807219</v>
      </c>
      <c r="AS4">
        <v>42.629368114346313</v>
      </c>
      <c r="AT4">
        <v>2225.2497055674821</v>
      </c>
      <c r="AU4">
        <v>503</v>
      </c>
      <c r="AV4">
        <v>21</v>
      </c>
      <c r="AW4">
        <v>5</v>
      </c>
      <c r="AX4">
        <v>160</v>
      </c>
    </row>
    <row r="5" spans="1:50">
      <c r="A5">
        <v>75</v>
      </c>
      <c r="B5">
        <v>1</v>
      </c>
      <c r="C5">
        <v>0</v>
      </c>
      <c r="D5">
        <v>37.570318231215211</v>
      </c>
      <c r="E5">
        <v>37.612594093924081</v>
      </c>
      <c r="F5">
        <v>37.563426295602341</v>
      </c>
      <c r="G5">
        <v>37.570761276090508</v>
      </c>
      <c r="H5">
        <v>37.517272018281567</v>
      </c>
      <c r="I5">
        <v>37.565919769838757</v>
      </c>
      <c r="J5">
        <v>37.565655139718267</v>
      </c>
      <c r="K5">
        <v>37.558021145110821</v>
      </c>
      <c r="L5">
        <v>36.134911586887817</v>
      </c>
      <c r="M5">
        <v>29.431551655802249</v>
      </c>
      <c r="N5">
        <v>29.35905328268387</v>
      </c>
      <c r="O5">
        <v>43.426247724454363</v>
      </c>
      <c r="P5">
        <v>43.342198066984601</v>
      </c>
      <c r="Q5">
        <v>40.796326779156999</v>
      </c>
      <c r="R5">
        <v>40.765441574244882</v>
      </c>
      <c r="S5">
        <v>23.723487967256428</v>
      </c>
      <c r="T5">
        <v>10360.486441662129</v>
      </c>
      <c r="U5">
        <v>41.438372159872173</v>
      </c>
      <c r="V5">
        <v>41.299244849312259</v>
      </c>
      <c r="W5">
        <v>39.482083056772282</v>
      </c>
      <c r="X5">
        <v>2215.512730760352</v>
      </c>
      <c r="Y5">
        <v>30.915437447006031</v>
      </c>
      <c r="Z5">
        <v>37.566608362037158</v>
      </c>
      <c r="AA5">
        <v>37.559737972190653</v>
      </c>
      <c r="AB5">
        <v>37.524745336323171</v>
      </c>
      <c r="AC5">
        <v>37.548585894025017</v>
      </c>
      <c r="AD5">
        <v>29.391359230490309</v>
      </c>
      <c r="AE5">
        <v>40.710635869740067</v>
      </c>
      <c r="AF5">
        <v>30.78542357515451</v>
      </c>
      <c r="AG5">
        <v>41.329552349704379</v>
      </c>
      <c r="AH5">
        <v>43.361745761150218</v>
      </c>
      <c r="AI5">
        <v>3.465316650297817</v>
      </c>
      <c r="AJ5">
        <v>2.389040377561769</v>
      </c>
      <c r="AK5">
        <v>15.24432353161351</v>
      </c>
      <c r="AL5">
        <v>11.804362609831861</v>
      </c>
      <c r="AM5">
        <v>1885.4899132848341</v>
      </c>
      <c r="AN5">
        <v>3006.535749459174</v>
      </c>
      <c r="AO5">
        <v>6.105916084597018</v>
      </c>
      <c r="AP5">
        <v>6.105916084597018</v>
      </c>
      <c r="AQ5">
        <v>14.33229704925928</v>
      </c>
      <c r="AR5">
        <v>3157.4135528807219</v>
      </c>
      <c r="AS5">
        <v>42.629368114346313</v>
      </c>
      <c r="AT5">
        <v>2225.2497055674821</v>
      </c>
      <c r="AU5">
        <v>503</v>
      </c>
      <c r="AV5">
        <v>21</v>
      </c>
      <c r="AW5">
        <v>10</v>
      </c>
      <c r="AX5">
        <v>160</v>
      </c>
    </row>
    <row r="6" spans="1:50">
      <c r="A6">
        <v>135</v>
      </c>
      <c r="B6">
        <v>1</v>
      </c>
      <c r="C6">
        <v>0</v>
      </c>
      <c r="D6">
        <v>37.745609030831289</v>
      </c>
      <c r="E6">
        <v>37.777453567799853</v>
      </c>
      <c r="F6">
        <v>37.745285172921832</v>
      </c>
      <c r="G6">
        <v>37.738680098018108</v>
      </c>
      <c r="H6">
        <v>37.681493106356413</v>
      </c>
      <c r="I6">
        <v>37.757083438510243</v>
      </c>
      <c r="J6">
        <v>37.717536103290193</v>
      </c>
      <c r="K6">
        <v>37.738135880158907</v>
      </c>
      <c r="L6">
        <v>36.362676743756573</v>
      </c>
      <c r="M6">
        <v>29.493270106197311</v>
      </c>
      <c r="N6">
        <v>29.41143290326897</v>
      </c>
      <c r="O6">
        <v>43.102449225799532</v>
      </c>
      <c r="P6">
        <v>43.161065243073303</v>
      </c>
      <c r="Q6">
        <v>40.561905862159897</v>
      </c>
      <c r="R6">
        <v>40.534747562466173</v>
      </c>
      <c r="S6">
        <v>23.8450523317909</v>
      </c>
      <c r="T6">
        <v>10754.05658478945</v>
      </c>
      <c r="U6">
        <v>41.26404019517426</v>
      </c>
      <c r="V6">
        <v>41.103785909961758</v>
      </c>
      <c r="W6">
        <v>39.315931546708917</v>
      </c>
      <c r="X6">
        <v>2215.5318965653501</v>
      </c>
      <c r="Y6">
        <v>30.925547844814542</v>
      </c>
      <c r="Z6">
        <v>37.740273814523491</v>
      </c>
      <c r="AA6">
        <v>37.72845866675604</v>
      </c>
      <c r="AB6">
        <v>37.703641568296497</v>
      </c>
      <c r="AC6">
        <v>37.698382042865823</v>
      </c>
      <c r="AD6">
        <v>29.457046103592251</v>
      </c>
      <c r="AE6">
        <v>40.481199921905002</v>
      </c>
      <c r="AF6">
        <v>30.81751595136533</v>
      </c>
      <c r="AG6">
        <v>41.167977797778242</v>
      </c>
      <c r="AH6">
        <v>43.07061591920457</v>
      </c>
      <c r="AI6">
        <v>3.4128561892042288</v>
      </c>
      <c r="AJ6">
        <v>2.378827889142396</v>
      </c>
      <c r="AK6">
        <v>14.802249000337079</v>
      </c>
      <c r="AL6">
        <v>11.447404892403201</v>
      </c>
      <c r="AM6">
        <v>1888.9596156850839</v>
      </c>
      <c r="AN6">
        <v>3005.2484081795528</v>
      </c>
      <c r="AO6">
        <v>6.4769212133014964</v>
      </c>
      <c r="AP6">
        <v>6.4769212133014964</v>
      </c>
      <c r="AQ6">
        <v>14.33393240642445</v>
      </c>
      <c r="AR6">
        <v>3157.4141856043971</v>
      </c>
      <c r="AS6">
        <v>42.46272576640871</v>
      </c>
      <c r="AT6">
        <v>2225.1865362881522</v>
      </c>
      <c r="AU6">
        <v>503</v>
      </c>
      <c r="AV6">
        <v>21</v>
      </c>
      <c r="AW6">
        <v>10</v>
      </c>
      <c r="AX6">
        <v>320</v>
      </c>
    </row>
    <row r="7" spans="1:50">
      <c r="A7">
        <v>135</v>
      </c>
      <c r="B7">
        <v>1</v>
      </c>
      <c r="C7">
        <v>0</v>
      </c>
      <c r="D7">
        <v>37.74390572049014</v>
      </c>
      <c r="E7">
        <v>37.777453567799853</v>
      </c>
      <c r="F7">
        <v>37.745285172921832</v>
      </c>
      <c r="G7">
        <v>37.738680098018108</v>
      </c>
      <c r="H7">
        <v>37.679469972954159</v>
      </c>
      <c r="I7">
        <v>37.757083438510243</v>
      </c>
      <c r="J7">
        <v>37.717536103290193</v>
      </c>
      <c r="K7">
        <v>37.736503246937517</v>
      </c>
      <c r="L7">
        <v>36.362676743756573</v>
      </c>
      <c r="M7">
        <v>29.493270106197311</v>
      </c>
      <c r="N7">
        <v>29.406512904148141</v>
      </c>
      <c r="O7">
        <v>43.087539759000407</v>
      </c>
      <c r="P7">
        <v>43.148270023737837</v>
      </c>
      <c r="Q7">
        <v>40.553034072969723</v>
      </c>
      <c r="R7">
        <v>40.514016526567609</v>
      </c>
      <c r="S7">
        <v>23.847875226738559</v>
      </c>
      <c r="T7">
        <v>10754.05658478945</v>
      </c>
      <c r="U7">
        <v>41.253090193843207</v>
      </c>
      <c r="V7">
        <v>41.083700814457401</v>
      </c>
      <c r="W7">
        <v>39.294876443900208</v>
      </c>
      <c r="X7">
        <v>2215.53270700659</v>
      </c>
      <c r="Y7">
        <v>30.934605291514028</v>
      </c>
      <c r="Z7">
        <v>37.738684972214863</v>
      </c>
      <c r="AA7">
        <v>37.734523739081439</v>
      </c>
      <c r="AB7">
        <v>37.703641568296497</v>
      </c>
      <c r="AC7">
        <v>37.698382042865823</v>
      </c>
      <c r="AD7">
        <v>29.454986651568628</v>
      </c>
      <c r="AE7">
        <v>40.461315416204528</v>
      </c>
      <c r="AF7">
        <v>30.82268471895523</v>
      </c>
      <c r="AG7">
        <v>41.139764352501203</v>
      </c>
      <c r="AH7">
        <v>43.073047071199639</v>
      </c>
      <c r="AI7">
        <v>3.4183558113592398</v>
      </c>
      <c r="AJ7">
        <v>2.3738382359509589</v>
      </c>
      <c r="AK7">
        <v>14.798588001391231</v>
      </c>
      <c r="AL7">
        <v>11.439723889856531</v>
      </c>
      <c r="AM7">
        <v>1889.120535481276</v>
      </c>
      <c r="AN7">
        <v>3005.2901684544672</v>
      </c>
      <c r="AO7">
        <v>6.4769212133014964</v>
      </c>
      <c r="AP7">
        <v>6.4769212133014964</v>
      </c>
      <c r="AQ7">
        <v>14.33393240642445</v>
      </c>
      <c r="AR7">
        <v>3157.4141856043971</v>
      </c>
      <c r="AS7">
        <v>42.448793866398887</v>
      </c>
      <c r="AT7">
        <v>2225.1865362881522</v>
      </c>
      <c r="AU7">
        <v>503</v>
      </c>
      <c r="AV7">
        <v>22</v>
      </c>
      <c r="AW7">
        <v>10</v>
      </c>
      <c r="AX7">
        <v>320</v>
      </c>
    </row>
    <row r="8" spans="1:50">
      <c r="A8">
        <v>135</v>
      </c>
      <c r="B8">
        <v>1</v>
      </c>
      <c r="C8">
        <v>0</v>
      </c>
      <c r="D8">
        <v>37.74390572049014</v>
      </c>
      <c r="E8">
        <v>37.777453567799853</v>
      </c>
      <c r="F8">
        <v>37.745285172921832</v>
      </c>
      <c r="G8">
        <v>37.744733996949599</v>
      </c>
      <c r="H8">
        <v>37.679469972954159</v>
      </c>
      <c r="I8">
        <v>37.757083438510243</v>
      </c>
      <c r="J8">
        <v>37.717536103290193</v>
      </c>
      <c r="K8">
        <v>37.736789779287683</v>
      </c>
      <c r="L8">
        <v>36.362676743756573</v>
      </c>
      <c r="M8">
        <v>29.48992021155777</v>
      </c>
      <c r="N8">
        <v>29.409362667434571</v>
      </c>
      <c r="O8">
        <v>43.078795838524869</v>
      </c>
      <c r="P8">
        <v>43.142831503429761</v>
      </c>
      <c r="Q8">
        <v>40.549279703114337</v>
      </c>
      <c r="R8">
        <v>40.535111019015432</v>
      </c>
      <c r="S8">
        <v>23.859894608514178</v>
      </c>
      <c r="T8">
        <v>10754.05658478945</v>
      </c>
      <c r="U8">
        <v>41.248321288618797</v>
      </c>
      <c r="V8">
        <v>41.078136388906898</v>
      </c>
      <c r="W8">
        <v>39.297691531019197</v>
      </c>
      <c r="X8">
        <v>2215.5327075138789</v>
      </c>
      <c r="Y8">
        <v>30.935997168559151</v>
      </c>
      <c r="Z8">
        <v>37.739327849345209</v>
      </c>
      <c r="AA8">
        <v>37.733891785006037</v>
      </c>
      <c r="AB8">
        <v>37.703641568296497</v>
      </c>
      <c r="AC8">
        <v>37.698382042865823</v>
      </c>
      <c r="AD8">
        <v>29.450226025728131</v>
      </c>
      <c r="AE8">
        <v>40.473175352327189</v>
      </c>
      <c r="AF8">
        <v>30.83042452414994</v>
      </c>
      <c r="AG8">
        <v>41.138261407738327</v>
      </c>
      <c r="AH8">
        <v>43.068791475195169</v>
      </c>
      <c r="AI8">
        <v>3.4165885346764848</v>
      </c>
      <c r="AJ8">
        <v>2.3738382359509589</v>
      </c>
      <c r="AK8">
        <v>14.80066371967251</v>
      </c>
      <c r="AL8">
        <v>11.43889142159934</v>
      </c>
      <c r="AM8">
        <v>1889.1813118715529</v>
      </c>
      <c r="AN8">
        <v>3005.2302677693669</v>
      </c>
      <c r="AO8">
        <v>6.4769212133014964</v>
      </c>
      <c r="AP8">
        <v>6.4769212133014964</v>
      </c>
      <c r="AQ8">
        <v>14.33393240642445</v>
      </c>
      <c r="AR8">
        <v>3157.4141856043971</v>
      </c>
      <c r="AS8">
        <v>42.449185288189078</v>
      </c>
      <c r="AT8">
        <v>2225.1865362881522</v>
      </c>
      <c r="AU8">
        <v>503</v>
      </c>
      <c r="AV8">
        <v>22</v>
      </c>
      <c r="AW8">
        <v>29.702017988827301</v>
      </c>
      <c r="AX8">
        <v>320</v>
      </c>
    </row>
    <row r="9" spans="1:50">
      <c r="A9">
        <v>195</v>
      </c>
      <c r="B9">
        <v>1</v>
      </c>
      <c r="C9">
        <v>0</v>
      </c>
      <c r="D9">
        <v>38.13144763508074</v>
      </c>
      <c r="E9">
        <v>38.181138421945043</v>
      </c>
      <c r="F9">
        <v>38.157190034060221</v>
      </c>
      <c r="G9">
        <v>38.162399333449841</v>
      </c>
      <c r="H9">
        <v>38.101118160591753</v>
      </c>
      <c r="I9">
        <v>38.14994032789145</v>
      </c>
      <c r="J9">
        <v>38.152440525539831</v>
      </c>
      <c r="K9">
        <v>38.132372731233332</v>
      </c>
      <c r="L9">
        <v>36.636768573651352</v>
      </c>
      <c r="M9">
        <v>31.320400985185181</v>
      </c>
      <c r="N9">
        <v>31.169688314135609</v>
      </c>
      <c r="O9">
        <v>60.885652612484442</v>
      </c>
      <c r="P9">
        <v>61.08076789845768</v>
      </c>
      <c r="Q9">
        <v>56.574733896362041</v>
      </c>
      <c r="R9">
        <v>56.64501154884568</v>
      </c>
      <c r="S9">
        <v>21.212464402358261</v>
      </c>
      <c r="T9">
        <v>10360.485504816559</v>
      </c>
      <c r="U9">
        <v>55.537599583700967</v>
      </c>
      <c r="V9">
        <v>55.508089383949432</v>
      </c>
      <c r="W9">
        <v>52.375483024921408</v>
      </c>
      <c r="X9">
        <v>2217.3157945585622</v>
      </c>
      <c r="Y9">
        <v>33.963228938989047</v>
      </c>
      <c r="Z9">
        <v>38.141015967619332</v>
      </c>
      <c r="AA9">
        <v>38.159052441672202</v>
      </c>
      <c r="AB9">
        <v>38.10424279901622</v>
      </c>
      <c r="AC9">
        <v>38.140824758099633</v>
      </c>
      <c r="AD9">
        <v>31.217981097664531</v>
      </c>
      <c r="AE9">
        <v>56.55536165124542</v>
      </c>
      <c r="AF9">
        <v>33.872612614926517</v>
      </c>
      <c r="AG9">
        <v>55.516491765789581</v>
      </c>
      <c r="AH9">
        <v>60.958808988187151</v>
      </c>
      <c r="AI9">
        <v>5.1053247239192654</v>
      </c>
      <c r="AJ9">
        <v>3.567522698899789</v>
      </c>
      <c r="AK9">
        <v>29.62022249421673</v>
      </c>
      <c r="AL9">
        <v>23.082666813863732</v>
      </c>
      <c r="AM9">
        <v>2571.529896374293</v>
      </c>
      <c r="AN9">
        <v>3330.455356823642</v>
      </c>
      <c r="AO9">
        <v>8.6808465550396097</v>
      </c>
      <c r="AP9">
        <v>8.7907311678336981</v>
      </c>
      <c r="AQ9">
        <v>14.33393240642445</v>
      </c>
      <c r="AR9">
        <v>3157.414818323703</v>
      </c>
      <c r="AS9">
        <v>42.016390416254097</v>
      </c>
      <c r="AT9">
        <v>2225.184095187532</v>
      </c>
      <c r="AU9">
        <v>503</v>
      </c>
      <c r="AV9">
        <v>22</v>
      </c>
      <c r="AW9">
        <v>25</v>
      </c>
      <c r="AX9">
        <v>480</v>
      </c>
    </row>
    <row r="10" spans="1:50">
      <c r="A10">
        <v>195</v>
      </c>
      <c r="B10">
        <v>1</v>
      </c>
      <c r="C10">
        <v>0</v>
      </c>
      <c r="D10">
        <v>38.133503036574773</v>
      </c>
      <c r="E10">
        <v>38.179913407247128</v>
      </c>
      <c r="F10">
        <v>38.156983596741647</v>
      </c>
      <c r="G10">
        <v>38.162222367899211</v>
      </c>
      <c r="H10">
        <v>38.102686641144871</v>
      </c>
      <c r="I10">
        <v>38.14994032789145</v>
      </c>
      <c r="J10">
        <v>38.150541574163817</v>
      </c>
      <c r="K10">
        <v>38.132170042437409</v>
      </c>
      <c r="L10">
        <v>36.636768573651352</v>
      </c>
      <c r="M10">
        <v>31.302130222224569</v>
      </c>
      <c r="N10">
        <v>31.158192427143881</v>
      </c>
      <c r="O10">
        <v>60.890081952543973</v>
      </c>
      <c r="P10">
        <v>61.075923856777692</v>
      </c>
      <c r="Q10">
        <v>56.570618757867933</v>
      </c>
      <c r="R10">
        <v>56.635604328265693</v>
      </c>
      <c r="S10">
        <v>21.198335894015901</v>
      </c>
      <c r="T10">
        <v>10561.209343750361</v>
      </c>
      <c r="U10">
        <v>55.529886074455263</v>
      </c>
      <c r="V10">
        <v>55.501003161882387</v>
      </c>
      <c r="W10">
        <v>52.365523476933902</v>
      </c>
      <c r="X10">
        <v>2217.318128586227</v>
      </c>
      <c r="Y10">
        <v>33.94770173462571</v>
      </c>
      <c r="Z10">
        <v>38.142264214893487</v>
      </c>
      <c r="AA10">
        <v>38.159052441672202</v>
      </c>
      <c r="AB10">
        <v>38.10424279901622</v>
      </c>
      <c r="AC10">
        <v>38.141924092323258</v>
      </c>
      <c r="AD10">
        <v>31.196762246273639</v>
      </c>
      <c r="AE10">
        <v>56.551263638000293</v>
      </c>
      <c r="AF10">
        <v>33.863707629273932</v>
      </c>
      <c r="AG10">
        <v>55.513192276306498</v>
      </c>
      <c r="AH10">
        <v>60.958618431518971</v>
      </c>
      <c r="AI10">
        <v>5.102300335308505</v>
      </c>
      <c r="AJ10">
        <v>3.567522698899789</v>
      </c>
      <c r="AK10">
        <v>29.615440838925291</v>
      </c>
      <c r="AL10">
        <v>23.081160036411031</v>
      </c>
      <c r="AM10">
        <v>2571.1235670622068</v>
      </c>
      <c r="AN10">
        <v>3330.495581931963</v>
      </c>
      <c r="AO10">
        <v>8.6808465550396097</v>
      </c>
      <c r="AP10">
        <v>8.7907311678336981</v>
      </c>
      <c r="AQ10">
        <v>14.33393240642445</v>
      </c>
      <c r="AR10">
        <v>3157.414818323703</v>
      </c>
      <c r="AS10">
        <v>42.016390416254097</v>
      </c>
      <c r="AT10">
        <v>2225.184095187532</v>
      </c>
      <c r="AU10">
        <v>503</v>
      </c>
      <c r="AV10">
        <v>23.313467865921819</v>
      </c>
      <c r="AW10">
        <v>25</v>
      </c>
      <c r="AX10">
        <v>480</v>
      </c>
    </row>
    <row r="11" spans="1:50">
      <c r="A11">
        <v>195</v>
      </c>
      <c r="B11">
        <v>1</v>
      </c>
      <c r="C11">
        <v>0</v>
      </c>
      <c r="D11">
        <v>38.133503036574773</v>
      </c>
      <c r="E11">
        <v>38.179913407247128</v>
      </c>
      <c r="F11">
        <v>38.156983596741647</v>
      </c>
      <c r="G11">
        <v>38.162222367899211</v>
      </c>
      <c r="H11">
        <v>38.102686641144871</v>
      </c>
      <c r="I11">
        <v>38.14994032789145</v>
      </c>
      <c r="J11">
        <v>38.154526014213943</v>
      </c>
      <c r="K11">
        <v>38.136580281271748</v>
      </c>
      <c r="L11">
        <v>36.636768573651352</v>
      </c>
      <c r="M11">
        <v>31.300471442555111</v>
      </c>
      <c r="N11">
        <v>31.16765516603758</v>
      </c>
      <c r="O11">
        <v>60.883013612291073</v>
      </c>
      <c r="P11">
        <v>61.080406695839343</v>
      </c>
      <c r="Q11">
        <v>56.559701016551301</v>
      </c>
      <c r="R11">
        <v>56.639425886245547</v>
      </c>
      <c r="S11">
        <v>21.195164898253569</v>
      </c>
      <c r="T11">
        <v>10561.21034616977</v>
      </c>
      <c r="U11">
        <v>55.52902579555883</v>
      </c>
      <c r="V11">
        <v>55.499973893822798</v>
      </c>
      <c r="W11">
        <v>52.358982559943797</v>
      </c>
      <c r="X11">
        <v>2217.318128586227</v>
      </c>
      <c r="Y11">
        <v>33.945210053964452</v>
      </c>
      <c r="Z11">
        <v>38.142264214893487</v>
      </c>
      <c r="AA11">
        <v>38.167418101903763</v>
      </c>
      <c r="AB11">
        <v>38.10424279901622</v>
      </c>
      <c r="AC11">
        <v>38.141924092323258</v>
      </c>
      <c r="AD11">
        <v>31.196527699136631</v>
      </c>
      <c r="AE11">
        <v>56.552421425679341</v>
      </c>
      <c r="AF11">
        <v>33.8623694070357</v>
      </c>
      <c r="AG11">
        <v>55.512485238445173</v>
      </c>
      <c r="AH11">
        <v>60.964232177543288</v>
      </c>
      <c r="AI11">
        <v>5.0985555404477783</v>
      </c>
      <c r="AJ11">
        <v>3.5704845786108188</v>
      </c>
      <c r="AK11">
        <v>29.62196976640411</v>
      </c>
      <c r="AL11">
        <v>23.0874742336559</v>
      </c>
      <c r="AM11">
        <v>2571.182632128905</v>
      </c>
      <c r="AN11">
        <v>3330.5646016425562</v>
      </c>
      <c r="AO11">
        <v>8.6808465550396097</v>
      </c>
      <c r="AP11">
        <v>8.7907311678336981</v>
      </c>
      <c r="AQ11">
        <v>14.33393240642445</v>
      </c>
      <c r="AR11">
        <v>3157.414818323703</v>
      </c>
      <c r="AS11">
        <v>42.012055482491888</v>
      </c>
      <c r="AT11">
        <v>2225.184095187532</v>
      </c>
      <c r="AU11">
        <v>503</v>
      </c>
      <c r="AV11">
        <v>23</v>
      </c>
      <c r="AW11">
        <v>37.168130648034257</v>
      </c>
      <c r="AX11">
        <v>480</v>
      </c>
    </row>
    <row r="12" spans="1:50">
      <c r="A12">
        <v>255</v>
      </c>
      <c r="B12">
        <v>1</v>
      </c>
      <c r="C12">
        <v>0</v>
      </c>
      <c r="D12">
        <v>38.830479417499028</v>
      </c>
      <c r="E12">
        <v>38.881084843903487</v>
      </c>
      <c r="F12">
        <v>38.887515187352548</v>
      </c>
      <c r="G12">
        <v>38.876174004893713</v>
      </c>
      <c r="H12">
        <v>38.801528135130788</v>
      </c>
      <c r="I12">
        <v>38.865241618462427</v>
      </c>
      <c r="J12">
        <v>38.884946353591147</v>
      </c>
      <c r="K12">
        <v>38.86968041304128</v>
      </c>
      <c r="L12">
        <v>37.102117691638348</v>
      </c>
      <c r="M12">
        <v>33.087441930259793</v>
      </c>
      <c r="N12">
        <v>32.963910031050297</v>
      </c>
      <c r="O12">
        <v>74.56491595145026</v>
      </c>
      <c r="P12">
        <v>75.149625339077033</v>
      </c>
      <c r="Q12">
        <v>69.516388766032534</v>
      </c>
      <c r="R12">
        <v>69.593579217508349</v>
      </c>
      <c r="S12">
        <v>20.15120713676578</v>
      </c>
      <c r="T12">
        <v>10561.204342143919</v>
      </c>
      <c r="U12">
        <v>66.953002638138145</v>
      </c>
      <c r="V12">
        <v>66.957396628233695</v>
      </c>
      <c r="W12">
        <v>62.769552291625587</v>
      </c>
      <c r="X12">
        <v>2218.7547631437151</v>
      </c>
      <c r="Y12">
        <v>36.668301349773692</v>
      </c>
      <c r="Z12">
        <v>38.83647335385605</v>
      </c>
      <c r="AA12">
        <v>38.864186531125931</v>
      </c>
      <c r="AB12">
        <v>38.822787603544107</v>
      </c>
      <c r="AC12">
        <v>38.867981816007742</v>
      </c>
      <c r="AD12">
        <v>33.031710831410798</v>
      </c>
      <c r="AE12">
        <v>69.499333984401133</v>
      </c>
      <c r="AF12">
        <v>36.647978028388927</v>
      </c>
      <c r="AG12">
        <v>66.957706858622331</v>
      </c>
      <c r="AH12">
        <v>74.820909663265027</v>
      </c>
      <c r="AI12">
        <v>6.1908372765950652</v>
      </c>
      <c r="AJ12">
        <v>4.5713005974640346</v>
      </c>
      <c r="AK12">
        <v>40.827731761120802</v>
      </c>
      <c r="AL12">
        <v>31.668975389346151</v>
      </c>
      <c r="AM12">
        <v>2772.617706287248</v>
      </c>
      <c r="AN12">
        <v>3528.495637296573</v>
      </c>
      <c r="AO12">
        <v>9.9760754243322456</v>
      </c>
      <c r="AP12">
        <v>9.9625654106147579</v>
      </c>
      <c r="AQ12">
        <v>14.33393240642445</v>
      </c>
      <c r="AR12">
        <v>3157.4141856043971</v>
      </c>
      <c r="AS12">
        <v>41.743504870988851</v>
      </c>
      <c r="AT12">
        <v>2225.1516159827279</v>
      </c>
      <c r="AU12">
        <v>503</v>
      </c>
      <c r="AV12">
        <v>23</v>
      </c>
      <c r="AW12">
        <v>33</v>
      </c>
      <c r="AX12">
        <v>560</v>
      </c>
    </row>
    <row r="13" spans="1:50">
      <c r="A13">
        <v>255</v>
      </c>
      <c r="B13">
        <v>1</v>
      </c>
      <c r="C13">
        <v>0</v>
      </c>
      <c r="D13">
        <v>38.833819056249368</v>
      </c>
      <c r="E13">
        <v>38.881084843903487</v>
      </c>
      <c r="F13">
        <v>38.887991353336027</v>
      </c>
      <c r="G13">
        <v>38.876174004893713</v>
      </c>
      <c r="H13">
        <v>38.804772724678351</v>
      </c>
      <c r="I13">
        <v>38.862140644266788</v>
      </c>
      <c r="J13">
        <v>38.884946353591147</v>
      </c>
      <c r="K13">
        <v>38.866606437872001</v>
      </c>
      <c r="L13">
        <v>37.100375498157199</v>
      </c>
      <c r="M13">
        <v>33.091783320001113</v>
      </c>
      <c r="N13">
        <v>32.96366040309438</v>
      </c>
      <c r="O13">
        <v>74.558262963581797</v>
      </c>
      <c r="P13">
        <v>75.145757696989321</v>
      </c>
      <c r="Q13">
        <v>69.517275261217947</v>
      </c>
      <c r="R13">
        <v>69.577657483111238</v>
      </c>
      <c r="S13">
        <v>20.141102816807742</v>
      </c>
      <c r="T13">
        <v>10561.204342143919</v>
      </c>
      <c r="U13">
        <v>66.947339619748192</v>
      </c>
      <c r="V13">
        <v>66.951839402730954</v>
      </c>
      <c r="W13">
        <v>62.762389391970387</v>
      </c>
      <c r="X13">
        <v>2218.7523859592229</v>
      </c>
      <c r="Y13">
        <v>36.671523164685013</v>
      </c>
      <c r="Z13">
        <v>38.83672542301376</v>
      </c>
      <c r="AA13">
        <v>38.864186531125931</v>
      </c>
      <c r="AB13">
        <v>38.822401181709701</v>
      </c>
      <c r="AC13">
        <v>38.865580441875537</v>
      </c>
      <c r="AD13">
        <v>33.031611244102962</v>
      </c>
      <c r="AE13">
        <v>69.490647651298758</v>
      </c>
      <c r="AF13">
        <v>36.652363757711207</v>
      </c>
      <c r="AG13">
        <v>66.953134916377266</v>
      </c>
      <c r="AH13">
        <v>74.815816299104895</v>
      </c>
      <c r="AI13">
        <v>6.1939203094182256</v>
      </c>
      <c r="AJ13">
        <v>4.572128627321808</v>
      </c>
      <c r="AK13">
        <v>40.810880231730067</v>
      </c>
      <c r="AL13">
        <v>31.66561616815347</v>
      </c>
      <c r="AM13">
        <v>2772.6482683392878</v>
      </c>
      <c r="AN13">
        <v>3528.460727450321</v>
      </c>
      <c r="AO13">
        <v>9.9760754243322456</v>
      </c>
      <c r="AP13">
        <v>9.9625654106147579</v>
      </c>
      <c r="AQ13">
        <v>14.33393240642445</v>
      </c>
      <c r="AR13">
        <v>3157.4141856043971</v>
      </c>
      <c r="AS13">
        <v>41.743504870988851</v>
      </c>
      <c r="AT13">
        <v>2225.1516159827279</v>
      </c>
      <c r="AU13">
        <v>503</v>
      </c>
      <c r="AV13">
        <v>23</v>
      </c>
      <c r="AW13">
        <v>33</v>
      </c>
      <c r="AX13">
        <v>560</v>
      </c>
    </row>
    <row r="14" spans="1:50">
      <c r="A14">
        <v>255</v>
      </c>
      <c r="B14">
        <v>1</v>
      </c>
      <c r="C14">
        <v>0</v>
      </c>
      <c r="D14">
        <v>38.835006110467233</v>
      </c>
      <c r="E14">
        <v>38.881084843903487</v>
      </c>
      <c r="F14">
        <v>38.887991353336027</v>
      </c>
      <c r="G14">
        <v>38.876778525417237</v>
      </c>
      <c r="H14">
        <v>38.804772724678351</v>
      </c>
      <c r="I14">
        <v>38.862140644266788</v>
      </c>
      <c r="J14">
        <v>38.888817392540822</v>
      </c>
      <c r="K14">
        <v>38.866606437872001</v>
      </c>
      <c r="L14">
        <v>37.100375498157199</v>
      </c>
      <c r="M14">
        <v>33.112867091369033</v>
      </c>
      <c r="N14">
        <v>32.984362958715721</v>
      </c>
      <c r="O14">
        <v>74.579248486679461</v>
      </c>
      <c r="P14">
        <v>75.162183652005297</v>
      </c>
      <c r="Q14">
        <v>69.535929282346103</v>
      </c>
      <c r="R14">
        <v>69.596507470668527</v>
      </c>
      <c r="S14">
        <v>20.175306413233759</v>
      </c>
      <c r="T14">
        <v>10561.204342143919</v>
      </c>
      <c r="U14">
        <v>66.961384858428559</v>
      </c>
      <c r="V14">
        <v>66.961614483868246</v>
      </c>
      <c r="W14">
        <v>62.76832370857889</v>
      </c>
      <c r="X14">
        <v>2218.757209823736</v>
      </c>
      <c r="Y14">
        <v>36.702227065575258</v>
      </c>
      <c r="Z14">
        <v>38.839652678853788</v>
      </c>
      <c r="AA14">
        <v>38.870487989849067</v>
      </c>
      <c r="AB14">
        <v>38.824800023552733</v>
      </c>
      <c r="AC14">
        <v>38.871194565307981</v>
      </c>
      <c r="AD14">
        <v>33.068612487891869</v>
      </c>
      <c r="AE14">
        <v>69.525317970383085</v>
      </c>
      <c r="AF14">
        <v>36.691090271559617</v>
      </c>
      <c r="AG14">
        <v>66.975030803278472</v>
      </c>
      <c r="AH14">
        <v>74.81365538356718</v>
      </c>
      <c r="AI14">
        <v>5.7766890321526887</v>
      </c>
      <c r="AJ14">
        <v>4.5796992803124441</v>
      </c>
      <c r="AK14">
        <v>40.822297272576442</v>
      </c>
      <c r="AL14">
        <v>31.667910569197531</v>
      </c>
      <c r="AM14">
        <v>2772.7500191273311</v>
      </c>
      <c r="AN14">
        <v>3528.3606751127732</v>
      </c>
      <c r="AO14">
        <v>9.9760754243322456</v>
      </c>
      <c r="AP14">
        <v>9.9625654106147579</v>
      </c>
      <c r="AQ14">
        <v>14.33393240642445</v>
      </c>
      <c r="AR14">
        <v>3157.4141856043971</v>
      </c>
      <c r="AS14">
        <v>41.763748497430427</v>
      </c>
      <c r="AT14">
        <v>2225.1516159827279</v>
      </c>
      <c r="AU14">
        <v>503</v>
      </c>
      <c r="AV14">
        <v>23</v>
      </c>
      <c r="AW14">
        <v>15</v>
      </c>
      <c r="AX14">
        <v>560</v>
      </c>
    </row>
    <row r="15" spans="1:50">
      <c r="A15">
        <v>315</v>
      </c>
      <c r="B15">
        <v>1</v>
      </c>
      <c r="C15">
        <v>0</v>
      </c>
      <c r="D15">
        <v>39.249382538756237</v>
      </c>
      <c r="E15">
        <v>39.305119693299588</v>
      </c>
      <c r="F15">
        <v>39.272446177567282</v>
      </c>
      <c r="G15">
        <v>39.26323299407467</v>
      </c>
      <c r="H15">
        <v>39.204028969369489</v>
      </c>
      <c r="I15">
        <v>39.270019067366853</v>
      </c>
      <c r="J15">
        <v>39.258832987240297</v>
      </c>
      <c r="K15">
        <v>39.248920818003363</v>
      </c>
      <c r="L15">
        <v>37.552058633993603</v>
      </c>
      <c r="M15">
        <v>30.33991625523575</v>
      </c>
      <c r="N15">
        <v>30.199978940539221</v>
      </c>
      <c r="O15">
        <v>47.433470364987834</v>
      </c>
      <c r="P15">
        <v>47.385917558623753</v>
      </c>
      <c r="Q15">
        <v>44.248188792587271</v>
      </c>
      <c r="R15">
        <v>44.239513075005853</v>
      </c>
      <c r="S15">
        <v>23.41634923782852</v>
      </c>
      <c r="T15">
        <v>10360.47738176683</v>
      </c>
      <c r="U15">
        <v>44.749038646672631</v>
      </c>
      <c r="V15">
        <v>44.616926434550052</v>
      </c>
      <c r="W15">
        <v>42.556557693542118</v>
      </c>
      <c r="X15">
        <v>2216.1129466867751</v>
      </c>
      <c r="Y15">
        <v>32.052635405324082</v>
      </c>
      <c r="Z15">
        <v>39.267549719162538</v>
      </c>
      <c r="AA15">
        <v>39.256772429219652</v>
      </c>
      <c r="AB15">
        <v>39.227408493847257</v>
      </c>
      <c r="AC15">
        <v>39.26275177081984</v>
      </c>
      <c r="AD15">
        <v>30.248894557035769</v>
      </c>
      <c r="AE15">
        <v>44.173364261881588</v>
      </c>
      <c r="AF15">
        <v>31.946797604924651</v>
      </c>
      <c r="AG15">
        <v>44.658387109291198</v>
      </c>
      <c r="AH15">
        <v>47.374561018235219</v>
      </c>
      <c r="AI15">
        <v>3.9278641061273518</v>
      </c>
      <c r="AJ15">
        <v>2.625121767206013</v>
      </c>
      <c r="AK15">
        <v>17.277927323275708</v>
      </c>
      <c r="AL15">
        <v>13.73161683915165</v>
      </c>
      <c r="AM15">
        <v>2136.2674338801262</v>
      </c>
      <c r="AN15">
        <v>3119.2536621214749</v>
      </c>
      <c r="AO15">
        <v>7.4280548300938438</v>
      </c>
      <c r="AP15">
        <v>7.5535510170936657</v>
      </c>
      <c r="AQ15">
        <v>14.33229704925928</v>
      </c>
      <c r="AR15">
        <v>3157.4141856043971</v>
      </c>
      <c r="AS15">
        <v>41.863135774926548</v>
      </c>
      <c r="AT15">
        <v>2225.2462033870488</v>
      </c>
      <c r="AU15">
        <v>503</v>
      </c>
      <c r="AV15">
        <v>23</v>
      </c>
      <c r="AW15">
        <v>15</v>
      </c>
      <c r="AX15">
        <v>380</v>
      </c>
    </row>
    <row r="16" spans="1:50">
      <c r="A16">
        <v>315</v>
      </c>
      <c r="B16">
        <v>1</v>
      </c>
      <c r="C16">
        <v>0</v>
      </c>
      <c r="D16">
        <v>39.249557707558857</v>
      </c>
      <c r="E16">
        <v>39.303568805439888</v>
      </c>
      <c r="F16">
        <v>39.272446177567282</v>
      </c>
      <c r="G16">
        <v>39.267958709332007</v>
      </c>
      <c r="H16">
        <v>39.204028969369489</v>
      </c>
      <c r="I16">
        <v>39.269985809936351</v>
      </c>
      <c r="J16">
        <v>39.262107115147863</v>
      </c>
      <c r="K16">
        <v>39.248920818003363</v>
      </c>
      <c r="L16">
        <v>37.552058633993603</v>
      </c>
      <c r="M16">
        <v>30.320445827761791</v>
      </c>
      <c r="N16">
        <v>30.194978048915289</v>
      </c>
      <c r="O16">
        <v>47.427332281174259</v>
      </c>
      <c r="P16">
        <v>47.383893854859373</v>
      </c>
      <c r="Q16">
        <v>44.237125487556852</v>
      </c>
      <c r="R16">
        <v>44.227527741646803</v>
      </c>
      <c r="S16">
        <v>23.426378442110131</v>
      </c>
      <c r="T16">
        <v>10360.47738189078</v>
      </c>
      <c r="U16">
        <v>44.739708582280549</v>
      </c>
      <c r="V16">
        <v>44.613796060391152</v>
      </c>
      <c r="W16">
        <v>42.559504699425929</v>
      </c>
      <c r="X16">
        <v>2216.1113103173088</v>
      </c>
      <c r="Y16">
        <v>32.035635619250613</v>
      </c>
      <c r="Z16">
        <v>39.265905187440147</v>
      </c>
      <c r="AA16">
        <v>39.261499667000663</v>
      </c>
      <c r="AB16">
        <v>39.227392838630209</v>
      </c>
      <c r="AC16">
        <v>39.26275177081984</v>
      </c>
      <c r="AD16">
        <v>30.243750917087471</v>
      </c>
      <c r="AE16">
        <v>44.161580273812987</v>
      </c>
      <c r="AF16">
        <v>31.929301704849959</v>
      </c>
      <c r="AG16">
        <v>44.649889127653537</v>
      </c>
      <c r="AH16">
        <v>47.362254023259609</v>
      </c>
      <c r="AI16">
        <v>3.9174258594621518</v>
      </c>
      <c r="AJ16">
        <v>2.6248216302603571</v>
      </c>
      <c r="AK16">
        <v>17.27850364530018</v>
      </c>
      <c r="AL16">
        <v>13.74405255319142</v>
      </c>
      <c r="AM16">
        <v>2135.4521048398428</v>
      </c>
      <c r="AN16">
        <v>3119.0921841598511</v>
      </c>
      <c r="AO16">
        <v>7.4280548300938438</v>
      </c>
      <c r="AP16">
        <v>7.5535510170936657</v>
      </c>
      <c r="AQ16">
        <v>14.33229704925928</v>
      </c>
      <c r="AR16">
        <v>3157.414818323703</v>
      </c>
      <c r="AS16">
        <v>41.863135774926548</v>
      </c>
      <c r="AT16">
        <v>2225.2462033870488</v>
      </c>
      <c r="AU16">
        <v>503</v>
      </c>
      <c r="AV16">
        <v>24.313467865921819</v>
      </c>
      <c r="AW16">
        <v>15</v>
      </c>
      <c r="AX16">
        <v>380</v>
      </c>
    </row>
    <row r="17" spans="1:50">
      <c r="A17">
        <v>315</v>
      </c>
      <c r="B17">
        <v>1</v>
      </c>
      <c r="C17">
        <v>0</v>
      </c>
      <c r="D17">
        <v>39.249557707558857</v>
      </c>
      <c r="E17">
        <v>39.309518707481693</v>
      </c>
      <c r="F17">
        <v>39.272446177567282</v>
      </c>
      <c r="G17">
        <v>39.267958709332007</v>
      </c>
      <c r="H17">
        <v>39.210043014306621</v>
      </c>
      <c r="I17">
        <v>39.269985809936351</v>
      </c>
      <c r="J17">
        <v>39.262107115147863</v>
      </c>
      <c r="K17">
        <v>39.248920818003363</v>
      </c>
      <c r="L17">
        <v>37.552058633993603</v>
      </c>
      <c r="M17">
        <v>30.324373109944279</v>
      </c>
      <c r="N17">
        <v>30.198491608549649</v>
      </c>
      <c r="O17">
        <v>47.423481895745333</v>
      </c>
      <c r="P17">
        <v>47.379399721858739</v>
      </c>
      <c r="Q17">
        <v>44.237125487556852</v>
      </c>
      <c r="R17">
        <v>44.222491273855333</v>
      </c>
      <c r="S17">
        <v>23.426378442110131</v>
      </c>
      <c r="T17">
        <v>10360.47738189078</v>
      </c>
      <c r="U17">
        <v>44.739708582280549</v>
      </c>
      <c r="V17">
        <v>44.613796060391152</v>
      </c>
      <c r="W17">
        <v>42.562759414125409</v>
      </c>
      <c r="X17">
        <v>2216.1113103173088</v>
      </c>
      <c r="Y17">
        <v>32.035635619250613</v>
      </c>
      <c r="Z17">
        <v>39.265905187440147</v>
      </c>
      <c r="AA17">
        <v>39.261499667000663</v>
      </c>
      <c r="AB17">
        <v>39.227392838630209</v>
      </c>
      <c r="AC17">
        <v>39.26275177081984</v>
      </c>
      <c r="AD17">
        <v>30.247486016073552</v>
      </c>
      <c r="AE17">
        <v>44.156875977323097</v>
      </c>
      <c r="AF17">
        <v>31.933669625939029</v>
      </c>
      <c r="AG17">
        <v>44.650185711066783</v>
      </c>
      <c r="AH17">
        <v>47.362254023259609</v>
      </c>
      <c r="AI17">
        <v>3.9199809576390252</v>
      </c>
      <c r="AJ17">
        <v>2.6268399018658939</v>
      </c>
      <c r="AK17">
        <v>17.269887322568302</v>
      </c>
      <c r="AL17">
        <v>13.747018776499219</v>
      </c>
      <c r="AM17">
        <v>2135.6034551272041</v>
      </c>
      <c r="AN17">
        <v>3118.8660795449732</v>
      </c>
      <c r="AO17">
        <v>7.4261000258062584</v>
      </c>
      <c r="AP17">
        <v>7.5516801565986196</v>
      </c>
      <c r="AQ17">
        <v>14.33229704925928</v>
      </c>
      <c r="AR17">
        <v>3157.414818323703</v>
      </c>
      <c r="AS17">
        <v>41.848508748344713</v>
      </c>
      <c r="AT17">
        <v>2225.2462033870488</v>
      </c>
      <c r="AU17">
        <v>503</v>
      </c>
      <c r="AV17">
        <v>24</v>
      </c>
      <c r="AW17">
        <v>21.567339329609101</v>
      </c>
      <c r="AX17">
        <v>380</v>
      </c>
    </row>
    <row r="18" spans="1:50">
      <c r="A18">
        <v>375</v>
      </c>
      <c r="B18">
        <v>1</v>
      </c>
      <c r="C18">
        <v>0</v>
      </c>
      <c r="D18">
        <v>39.58125534439332</v>
      </c>
      <c r="E18">
        <v>39.626411964284671</v>
      </c>
      <c r="F18">
        <v>39.591496137529028</v>
      </c>
      <c r="G18">
        <v>39.612207295082619</v>
      </c>
      <c r="H18">
        <v>39.530428500296892</v>
      </c>
      <c r="I18">
        <v>39.586429971384902</v>
      </c>
      <c r="J18">
        <v>39.596329959637103</v>
      </c>
      <c r="K18">
        <v>39.600038273392968</v>
      </c>
      <c r="L18">
        <v>37.914705248407387</v>
      </c>
      <c r="M18">
        <v>30.810351287368441</v>
      </c>
      <c r="N18">
        <v>30.681211880420989</v>
      </c>
      <c r="O18">
        <v>53.359622200252389</v>
      </c>
      <c r="P18">
        <v>53.315170643453428</v>
      </c>
      <c r="Q18">
        <v>49.676362903044513</v>
      </c>
      <c r="R18">
        <v>49.767876976709303</v>
      </c>
      <c r="S18">
        <v>22.464085570569111</v>
      </c>
      <c r="T18">
        <v>10754.07560091268</v>
      </c>
      <c r="U18">
        <v>49.523261138968437</v>
      </c>
      <c r="V18">
        <v>49.448913305126482</v>
      </c>
      <c r="W18">
        <v>46.902250083013833</v>
      </c>
      <c r="X18">
        <v>2216.7158862164679</v>
      </c>
      <c r="Y18">
        <v>32.999350841731832</v>
      </c>
      <c r="Z18">
        <v>39.583345447593423</v>
      </c>
      <c r="AA18">
        <v>39.584919651029743</v>
      </c>
      <c r="AB18">
        <v>39.540911030672547</v>
      </c>
      <c r="AC18">
        <v>39.566330694851331</v>
      </c>
      <c r="AD18">
        <v>30.74526830078538</v>
      </c>
      <c r="AE18">
        <v>49.644252587200732</v>
      </c>
      <c r="AF18">
        <v>32.897856671692409</v>
      </c>
      <c r="AG18">
        <v>49.457470042195212</v>
      </c>
      <c r="AH18">
        <v>53.304837971131462</v>
      </c>
      <c r="AI18">
        <v>4.5029705608487136</v>
      </c>
      <c r="AJ18">
        <v>3.0867866804856199</v>
      </c>
      <c r="AK18">
        <v>22.8306409689528</v>
      </c>
      <c r="AL18">
        <v>17.837036348862171</v>
      </c>
      <c r="AM18">
        <v>2348.4373124999229</v>
      </c>
      <c r="AN18">
        <v>3212.0537047043472</v>
      </c>
      <c r="AO18">
        <v>7.9905379780484331</v>
      </c>
      <c r="AP18">
        <v>8.1077768607381611</v>
      </c>
      <c r="AQ18">
        <v>14.33393240642445</v>
      </c>
      <c r="AR18">
        <v>3157.414818323703</v>
      </c>
      <c r="AS18">
        <v>41.820672793250438</v>
      </c>
      <c r="AT18">
        <v>2225.241475609746</v>
      </c>
      <c r="AU18">
        <v>503</v>
      </c>
      <c r="AV18">
        <v>24</v>
      </c>
      <c r="AW18">
        <v>20</v>
      </c>
      <c r="AX18">
        <v>430</v>
      </c>
    </row>
    <row r="19" spans="1:50">
      <c r="A19">
        <v>375</v>
      </c>
      <c r="B19">
        <v>1</v>
      </c>
      <c r="C19">
        <v>0</v>
      </c>
      <c r="D19">
        <v>39.58125534439332</v>
      </c>
      <c r="E19">
        <v>39.626411964284671</v>
      </c>
      <c r="F19">
        <v>39.591496137529028</v>
      </c>
      <c r="G19">
        <v>39.612207295082619</v>
      </c>
      <c r="H19">
        <v>39.533261182998267</v>
      </c>
      <c r="I19">
        <v>39.586429971384902</v>
      </c>
      <c r="J19">
        <v>39.596329959637103</v>
      </c>
      <c r="K19">
        <v>39.605382680562329</v>
      </c>
      <c r="L19">
        <v>37.913609887217781</v>
      </c>
      <c r="M19">
        <v>30.79912169555142</v>
      </c>
      <c r="N19">
        <v>30.673383190876201</v>
      </c>
      <c r="O19">
        <v>53.363332191982991</v>
      </c>
      <c r="P19">
        <v>53.31572592794496</v>
      </c>
      <c r="Q19">
        <v>49.680697130220828</v>
      </c>
      <c r="R19">
        <v>49.781149831377732</v>
      </c>
      <c r="S19">
        <v>22.460035703429529</v>
      </c>
      <c r="T19">
        <v>10939.388075744109</v>
      </c>
      <c r="U19">
        <v>49.530447868418861</v>
      </c>
      <c r="V19">
        <v>49.446823599172923</v>
      </c>
      <c r="W19">
        <v>46.903399463233271</v>
      </c>
      <c r="X19">
        <v>2216.7167013013441</v>
      </c>
      <c r="Y19">
        <v>33.003604034411453</v>
      </c>
      <c r="Z19">
        <v>39.583345447593423</v>
      </c>
      <c r="AA19">
        <v>39.584919651029743</v>
      </c>
      <c r="AB19">
        <v>39.540911030672547</v>
      </c>
      <c r="AC19">
        <v>39.566330694851331</v>
      </c>
      <c r="AD19">
        <v>30.737634747550491</v>
      </c>
      <c r="AE19">
        <v>49.650761048622741</v>
      </c>
      <c r="AF19">
        <v>32.904356341057849</v>
      </c>
      <c r="AG19">
        <v>49.460137068771182</v>
      </c>
      <c r="AH19">
        <v>53.301446708613398</v>
      </c>
      <c r="AI19">
        <v>4.4910924442204614</v>
      </c>
      <c r="AJ19">
        <v>3.0825164924823039</v>
      </c>
      <c r="AK19">
        <v>22.84242628733713</v>
      </c>
      <c r="AL19">
        <v>17.83541504097365</v>
      </c>
      <c r="AM19">
        <v>2348.576842580896</v>
      </c>
      <c r="AN19">
        <v>3212.1157543826171</v>
      </c>
      <c r="AO19">
        <v>7.9905379780484331</v>
      </c>
      <c r="AP19">
        <v>8.1077768607381611</v>
      </c>
      <c r="AQ19">
        <v>14.33393240642445</v>
      </c>
      <c r="AR19">
        <v>3157.414818323703</v>
      </c>
      <c r="AS19">
        <v>41.822119126287397</v>
      </c>
      <c r="AT19">
        <v>2225.241475609746</v>
      </c>
      <c r="AU19">
        <v>503</v>
      </c>
      <c r="AV19">
        <v>25.313467865921819</v>
      </c>
      <c r="AW19">
        <v>20</v>
      </c>
      <c r="AX19">
        <v>430</v>
      </c>
    </row>
    <row r="20" spans="1:50">
      <c r="A20">
        <v>375</v>
      </c>
      <c r="B20">
        <v>1</v>
      </c>
      <c r="C20">
        <v>0</v>
      </c>
      <c r="D20">
        <v>39.58125534439332</v>
      </c>
      <c r="E20">
        <v>39.627271699220501</v>
      </c>
      <c r="F20">
        <v>39.591496137529028</v>
      </c>
      <c r="G20">
        <v>39.612207295082619</v>
      </c>
      <c r="H20">
        <v>39.533261182998267</v>
      </c>
      <c r="I20">
        <v>39.590642225814797</v>
      </c>
      <c r="J20">
        <v>39.596329959637103</v>
      </c>
      <c r="K20">
        <v>39.605382680562329</v>
      </c>
      <c r="L20">
        <v>37.913609887217781</v>
      </c>
      <c r="M20">
        <v>30.801697577324259</v>
      </c>
      <c r="N20">
        <v>30.674306966686711</v>
      </c>
      <c r="O20">
        <v>53.352880630959049</v>
      </c>
      <c r="P20">
        <v>53.308975037011251</v>
      </c>
      <c r="Q20">
        <v>49.684752047051923</v>
      </c>
      <c r="R20">
        <v>49.77934213347023</v>
      </c>
      <c r="S20">
        <v>22.45294799930284</v>
      </c>
      <c r="T20">
        <v>11117.4029371826</v>
      </c>
      <c r="U20">
        <v>49.525148807766371</v>
      </c>
      <c r="V20">
        <v>49.440503122202763</v>
      </c>
      <c r="W20">
        <v>46.897547110832377</v>
      </c>
      <c r="X20">
        <v>2216.7166810042049</v>
      </c>
      <c r="Y20">
        <v>32.996054321220143</v>
      </c>
      <c r="Z20">
        <v>39.5842235849396</v>
      </c>
      <c r="AA20">
        <v>39.584919651029743</v>
      </c>
      <c r="AB20">
        <v>39.540911030672547</v>
      </c>
      <c r="AC20">
        <v>39.569332356255252</v>
      </c>
      <c r="AD20">
        <v>30.7325801251542</v>
      </c>
      <c r="AE20">
        <v>49.654980192454147</v>
      </c>
      <c r="AF20">
        <v>32.899958386990342</v>
      </c>
      <c r="AG20">
        <v>49.455656232733581</v>
      </c>
      <c r="AH20">
        <v>53.301687522264977</v>
      </c>
      <c r="AI20">
        <v>4.4884396484483471</v>
      </c>
      <c r="AJ20">
        <v>3.0821340604673941</v>
      </c>
      <c r="AK20">
        <v>22.844206658379619</v>
      </c>
      <c r="AL20">
        <v>17.835816263220341</v>
      </c>
      <c r="AM20">
        <v>2348.932780017858</v>
      </c>
      <c r="AN20">
        <v>3212.2754190874271</v>
      </c>
      <c r="AO20">
        <v>7.9905379780484331</v>
      </c>
      <c r="AP20">
        <v>8.1077768607381611</v>
      </c>
      <c r="AQ20">
        <v>14.33393240642445</v>
      </c>
      <c r="AR20">
        <v>3157.414818323703</v>
      </c>
      <c r="AS20">
        <v>41.822119126287397</v>
      </c>
      <c r="AT20">
        <v>2225.241475609746</v>
      </c>
      <c r="AU20">
        <v>503</v>
      </c>
      <c r="AV20">
        <v>25.313467865921819</v>
      </c>
      <c r="AW20">
        <v>27.16778246574982</v>
      </c>
      <c r="AX20">
        <v>430</v>
      </c>
    </row>
    <row r="21" spans="1:50">
      <c r="A21">
        <v>435</v>
      </c>
      <c r="B21">
        <v>1</v>
      </c>
      <c r="C21">
        <v>0</v>
      </c>
      <c r="D21">
        <v>40.053496701738801</v>
      </c>
      <c r="E21">
        <v>40.106282342873811</v>
      </c>
      <c r="F21">
        <v>40.085410180336588</v>
      </c>
      <c r="G21">
        <v>40.098983478688609</v>
      </c>
      <c r="H21">
        <v>40.000942253757032</v>
      </c>
      <c r="I21">
        <v>40.07975412899755</v>
      </c>
      <c r="J21">
        <v>40.041900925363613</v>
      </c>
      <c r="K21">
        <v>40.074901330571073</v>
      </c>
      <c r="L21">
        <v>38.273512566302017</v>
      </c>
      <c r="M21">
        <v>31.785701071530191</v>
      </c>
      <c r="N21">
        <v>31.67223826707211</v>
      </c>
      <c r="O21">
        <v>61.959788521899277</v>
      </c>
      <c r="P21">
        <v>62.015273310386497</v>
      </c>
      <c r="Q21">
        <v>57.55156111791743</v>
      </c>
      <c r="R21">
        <v>57.667231653414262</v>
      </c>
      <c r="S21">
        <v>21.533512391746399</v>
      </c>
      <c r="T21">
        <v>10360.475507941759</v>
      </c>
      <c r="U21">
        <v>56.468827325596799</v>
      </c>
      <c r="V21">
        <v>56.462095047148239</v>
      </c>
      <c r="W21">
        <v>53.215432211327531</v>
      </c>
      <c r="X21">
        <v>2217.5787249805749</v>
      </c>
      <c r="Y21">
        <v>34.509250807654233</v>
      </c>
      <c r="Z21">
        <v>40.059653608705887</v>
      </c>
      <c r="AA21">
        <v>40.082612382987577</v>
      </c>
      <c r="AB21">
        <v>40.028547518798263</v>
      </c>
      <c r="AC21">
        <v>40.056156855408133</v>
      </c>
      <c r="AD21">
        <v>31.721055440289561</v>
      </c>
      <c r="AE21">
        <v>57.541873067935363</v>
      </c>
      <c r="AF21">
        <v>34.414248120161893</v>
      </c>
      <c r="AG21">
        <v>56.447552025089642</v>
      </c>
      <c r="AH21">
        <v>61.945918648234453</v>
      </c>
      <c r="AI21">
        <v>5.2224377622996236</v>
      </c>
      <c r="AJ21">
        <v>3.6567436819950059</v>
      </c>
      <c r="AK21">
        <v>30.02107439653475</v>
      </c>
      <c r="AL21">
        <v>23.409861394260421</v>
      </c>
      <c r="AM21">
        <v>2621.6241330462381</v>
      </c>
      <c r="AN21">
        <v>3353.1317095964891</v>
      </c>
      <c r="AO21">
        <v>8.7447353186621157</v>
      </c>
      <c r="AP21">
        <v>8.8484463670260993</v>
      </c>
      <c r="AQ21">
        <v>14.33393240642445</v>
      </c>
      <c r="AR21">
        <v>3157.414818323703</v>
      </c>
      <c r="AS21">
        <v>41.792283231433878</v>
      </c>
      <c r="AT21">
        <v>2225.346561113377</v>
      </c>
      <c r="AU21">
        <v>503</v>
      </c>
      <c r="AV21">
        <v>25</v>
      </c>
      <c r="AW21">
        <v>25</v>
      </c>
      <c r="AX21">
        <v>490</v>
      </c>
    </row>
    <row r="22" spans="1:50">
      <c r="A22">
        <v>435</v>
      </c>
      <c r="B22">
        <v>1</v>
      </c>
      <c r="C22">
        <v>0</v>
      </c>
      <c r="D22">
        <v>40.053496701738801</v>
      </c>
      <c r="E22">
        <v>40.106282342873811</v>
      </c>
      <c r="F22">
        <v>40.085410180336588</v>
      </c>
      <c r="G22">
        <v>40.098983478688609</v>
      </c>
      <c r="H22">
        <v>40.000942253757032</v>
      </c>
      <c r="I22">
        <v>40.07975412899755</v>
      </c>
      <c r="J22">
        <v>40.044369998526122</v>
      </c>
      <c r="K22">
        <v>40.074901330571073</v>
      </c>
      <c r="L22">
        <v>38.279122035727937</v>
      </c>
      <c r="M22">
        <v>31.802020025030892</v>
      </c>
      <c r="N22">
        <v>31.685218001803701</v>
      </c>
      <c r="O22">
        <v>61.969516013582137</v>
      </c>
      <c r="P22">
        <v>62.011519553898353</v>
      </c>
      <c r="Q22">
        <v>57.537083931182707</v>
      </c>
      <c r="R22">
        <v>57.65532266467369</v>
      </c>
      <c r="S22">
        <v>21.531618818564159</v>
      </c>
      <c r="T22">
        <v>10360.475507941759</v>
      </c>
      <c r="U22">
        <v>56.464852912118722</v>
      </c>
      <c r="V22">
        <v>56.45878545006471</v>
      </c>
      <c r="W22">
        <v>53.210404766736197</v>
      </c>
      <c r="X22">
        <v>2217.5811184407112</v>
      </c>
      <c r="Y22">
        <v>34.512940975747441</v>
      </c>
      <c r="Z22">
        <v>40.057189139046628</v>
      </c>
      <c r="AA22">
        <v>40.082612382987577</v>
      </c>
      <c r="AB22">
        <v>40.028547518798263</v>
      </c>
      <c r="AC22">
        <v>40.056156855408133</v>
      </c>
      <c r="AD22">
        <v>31.728543756987019</v>
      </c>
      <c r="AE22">
        <v>57.531229312980628</v>
      </c>
      <c r="AF22">
        <v>34.418202775695413</v>
      </c>
      <c r="AG22">
        <v>56.436021313104348</v>
      </c>
      <c r="AH22">
        <v>61.945338562626382</v>
      </c>
      <c r="AI22">
        <v>5.226493381191621</v>
      </c>
      <c r="AJ22">
        <v>3.6496904186861232</v>
      </c>
      <c r="AK22">
        <v>30.01790987701839</v>
      </c>
      <c r="AL22">
        <v>23.40192245603928</v>
      </c>
      <c r="AM22">
        <v>2621.4796641891398</v>
      </c>
      <c r="AN22">
        <v>3353.1295669170158</v>
      </c>
      <c r="AO22">
        <v>8.7447353186621157</v>
      </c>
      <c r="AP22">
        <v>8.8484463670260993</v>
      </c>
      <c r="AQ22">
        <v>14.33393240642445</v>
      </c>
      <c r="AR22">
        <v>3157.414818323703</v>
      </c>
      <c r="AS22">
        <v>41.792283231433878</v>
      </c>
      <c r="AT22">
        <v>2225.346561113377</v>
      </c>
      <c r="AU22">
        <v>503</v>
      </c>
      <c r="AV22">
        <v>27</v>
      </c>
      <c r="AW22">
        <v>25</v>
      </c>
      <c r="AX22">
        <v>490</v>
      </c>
    </row>
    <row r="23" spans="1:50">
      <c r="A23">
        <v>435</v>
      </c>
      <c r="B23">
        <v>1</v>
      </c>
      <c r="C23">
        <v>0</v>
      </c>
      <c r="D23">
        <v>40.053496701738801</v>
      </c>
      <c r="E23">
        <v>40.105189702891821</v>
      </c>
      <c r="F23">
        <v>40.085410180336588</v>
      </c>
      <c r="G23">
        <v>40.098983478688609</v>
      </c>
      <c r="H23">
        <v>40.003671292520522</v>
      </c>
      <c r="I23">
        <v>40.087208437074374</v>
      </c>
      <c r="J23">
        <v>40.044369998526122</v>
      </c>
      <c r="K23">
        <v>40.074901330571073</v>
      </c>
      <c r="L23">
        <v>38.279122035727937</v>
      </c>
      <c r="M23">
        <v>31.805885827481841</v>
      </c>
      <c r="N23">
        <v>31.687515319432819</v>
      </c>
      <c r="O23">
        <v>61.970011942335198</v>
      </c>
      <c r="P23">
        <v>62.016225404398412</v>
      </c>
      <c r="Q23">
        <v>57.554716097873197</v>
      </c>
      <c r="R23">
        <v>57.639133675619199</v>
      </c>
      <c r="S23">
        <v>21.546499878021251</v>
      </c>
      <c r="T23">
        <v>10360.476444917271</v>
      </c>
      <c r="U23">
        <v>56.467240149018231</v>
      </c>
      <c r="V23">
        <v>56.457723134554477</v>
      </c>
      <c r="W23">
        <v>53.219019599117203</v>
      </c>
      <c r="X23">
        <v>2217.5843542979801</v>
      </c>
      <c r="Y23">
        <v>34.529576299852927</v>
      </c>
      <c r="Z23">
        <v>40.061525635761647</v>
      </c>
      <c r="AA23">
        <v>40.082612382987577</v>
      </c>
      <c r="AB23">
        <v>40.038779165947687</v>
      </c>
      <c r="AC23">
        <v>40.056156855408133</v>
      </c>
      <c r="AD23">
        <v>31.739930448972292</v>
      </c>
      <c r="AE23">
        <v>57.532984877802733</v>
      </c>
      <c r="AF23">
        <v>34.446621344556078</v>
      </c>
      <c r="AG23">
        <v>56.440793061025289</v>
      </c>
      <c r="AH23">
        <v>61.948112937529046</v>
      </c>
      <c r="AI23">
        <v>5.2318405765853164</v>
      </c>
      <c r="AJ23">
        <v>3.640108889122859</v>
      </c>
      <c r="AK23">
        <v>30.028158358920141</v>
      </c>
      <c r="AL23">
        <v>23.391397199041339</v>
      </c>
      <c r="AM23">
        <v>2621.6164848927829</v>
      </c>
      <c r="AN23">
        <v>3353.2879137222881</v>
      </c>
      <c r="AO23">
        <v>8.7447353186621157</v>
      </c>
      <c r="AP23">
        <v>8.8484463670260993</v>
      </c>
      <c r="AQ23">
        <v>14.33393240642445</v>
      </c>
      <c r="AR23">
        <v>3157.414818323703</v>
      </c>
      <c r="AS23">
        <v>41.801788066918967</v>
      </c>
      <c r="AT23">
        <v>2225.34735183476</v>
      </c>
      <c r="AU23">
        <v>503</v>
      </c>
      <c r="AV23">
        <v>27</v>
      </c>
      <c r="AW23">
        <v>31.567339329609101</v>
      </c>
      <c r="AX23">
        <v>490</v>
      </c>
    </row>
    <row r="24" spans="1:50">
      <c r="A24">
        <v>495</v>
      </c>
      <c r="B24">
        <v>1</v>
      </c>
      <c r="C24">
        <v>0</v>
      </c>
      <c r="D24">
        <v>40.692361158465687</v>
      </c>
      <c r="E24">
        <v>40.735830701130787</v>
      </c>
      <c r="F24">
        <v>40.729318306494591</v>
      </c>
      <c r="G24">
        <v>40.737161048620848</v>
      </c>
      <c r="H24">
        <v>40.64202121044746</v>
      </c>
      <c r="I24">
        <v>40.718807230136697</v>
      </c>
      <c r="J24">
        <v>40.705835736045827</v>
      </c>
      <c r="K24">
        <v>40.732045350855017</v>
      </c>
      <c r="L24">
        <v>38.763702455002488</v>
      </c>
      <c r="M24">
        <v>33.048757010808643</v>
      </c>
      <c r="N24">
        <v>32.876627885118893</v>
      </c>
      <c r="O24">
        <v>70.858347393604305</v>
      </c>
      <c r="P24">
        <v>71.421590172909632</v>
      </c>
      <c r="Q24">
        <v>65.878578417666205</v>
      </c>
      <c r="R24">
        <v>65.985632356031459</v>
      </c>
      <c r="S24">
        <v>20.860281680828159</v>
      </c>
      <c r="T24">
        <v>10360.480192551409</v>
      </c>
      <c r="U24">
        <v>63.896420237265332</v>
      </c>
      <c r="V24">
        <v>63.89915860022731</v>
      </c>
      <c r="W24">
        <v>59.961973544728238</v>
      </c>
      <c r="X24">
        <v>2218.52618747936</v>
      </c>
      <c r="Y24">
        <v>36.334204191679177</v>
      </c>
      <c r="Z24">
        <v>40.684746034030887</v>
      </c>
      <c r="AA24">
        <v>40.726435111211487</v>
      </c>
      <c r="AB24">
        <v>40.682344947837478</v>
      </c>
      <c r="AC24">
        <v>40.711554209805158</v>
      </c>
      <c r="AD24">
        <v>32.960162747288493</v>
      </c>
      <c r="AE24">
        <v>65.884271549824078</v>
      </c>
      <c r="AF24">
        <v>36.306165749768837</v>
      </c>
      <c r="AG24">
        <v>63.871518043153138</v>
      </c>
      <c r="AH24">
        <v>71.107565116672177</v>
      </c>
      <c r="AI24">
        <v>6.0615814321349504</v>
      </c>
      <c r="AJ24">
        <v>4.3246230156822394</v>
      </c>
      <c r="AK24">
        <v>37.232934426755143</v>
      </c>
      <c r="AL24">
        <v>29.036336234261441</v>
      </c>
      <c r="AM24">
        <v>2773.1431055772118</v>
      </c>
      <c r="AN24">
        <v>3489.4414820632401</v>
      </c>
      <c r="AO24">
        <v>9.5801850861458142</v>
      </c>
      <c r="AP24">
        <v>9.6185537104271273</v>
      </c>
      <c r="AQ24">
        <v>14.33393240642445</v>
      </c>
      <c r="AR24">
        <v>3157.414818323703</v>
      </c>
      <c r="AS24">
        <v>41.641241945374723</v>
      </c>
      <c r="AT24">
        <v>2225.309785889242</v>
      </c>
      <c r="AU24">
        <v>503</v>
      </c>
      <c r="AV24">
        <v>27</v>
      </c>
      <c r="AW24">
        <v>30</v>
      </c>
      <c r="AX24">
        <v>515</v>
      </c>
    </row>
    <row r="25" spans="1:50">
      <c r="A25">
        <v>495</v>
      </c>
      <c r="B25">
        <v>1</v>
      </c>
      <c r="C25">
        <v>0</v>
      </c>
      <c r="D25">
        <v>40.695428133254509</v>
      </c>
      <c r="E25">
        <v>40.738909259259508</v>
      </c>
      <c r="F25">
        <v>40.729318306494591</v>
      </c>
      <c r="G25">
        <v>40.737161048620848</v>
      </c>
      <c r="H25">
        <v>40.64202121044746</v>
      </c>
      <c r="I25">
        <v>40.718807230136697</v>
      </c>
      <c r="J25">
        <v>40.705835736045827</v>
      </c>
      <c r="K25">
        <v>40.732045350855017</v>
      </c>
      <c r="L25">
        <v>38.763702455002488</v>
      </c>
      <c r="M25">
        <v>33.047491776559163</v>
      </c>
      <c r="N25">
        <v>32.879794160338562</v>
      </c>
      <c r="O25">
        <v>70.876799959266478</v>
      </c>
      <c r="P25">
        <v>71.432078416078852</v>
      </c>
      <c r="Q25">
        <v>65.88003837268397</v>
      </c>
      <c r="R25">
        <v>65.997501997168058</v>
      </c>
      <c r="S25">
        <v>20.86315960115838</v>
      </c>
      <c r="T25">
        <v>10561.204341899491</v>
      </c>
      <c r="U25">
        <v>63.899792407933063</v>
      </c>
      <c r="V25">
        <v>63.900376896896667</v>
      </c>
      <c r="W25">
        <v>59.967835341659217</v>
      </c>
      <c r="X25">
        <v>2218.525382680677</v>
      </c>
      <c r="Y25">
        <v>36.331719423055027</v>
      </c>
      <c r="Z25">
        <v>40.686299023403308</v>
      </c>
      <c r="AA25">
        <v>40.726975390125403</v>
      </c>
      <c r="AB25">
        <v>40.682344947837478</v>
      </c>
      <c r="AC25">
        <v>40.709808484502119</v>
      </c>
      <c r="AD25">
        <v>32.953518515085847</v>
      </c>
      <c r="AE25">
        <v>65.889519038416964</v>
      </c>
      <c r="AF25">
        <v>36.301188825220478</v>
      </c>
      <c r="AG25">
        <v>63.876349425884513</v>
      </c>
      <c r="AH25">
        <v>71.113417735569442</v>
      </c>
      <c r="AI25">
        <v>6.061162549181411</v>
      </c>
      <c r="AJ25">
        <v>4.3246230156822394</v>
      </c>
      <c r="AK25">
        <v>37.231040272863837</v>
      </c>
      <c r="AL25">
        <v>29.032694508052451</v>
      </c>
      <c r="AM25">
        <v>2772.9117027512279</v>
      </c>
      <c r="AN25">
        <v>3489.2551773626342</v>
      </c>
      <c r="AO25">
        <v>9.5801850861458142</v>
      </c>
      <c r="AP25">
        <v>9.6185537104271273</v>
      </c>
      <c r="AQ25">
        <v>14.33393240642445</v>
      </c>
      <c r="AR25">
        <v>3157.414818323703</v>
      </c>
      <c r="AS25">
        <v>41.641241945374723</v>
      </c>
      <c r="AT25">
        <v>2225.309785889242</v>
      </c>
      <c r="AU25">
        <v>503</v>
      </c>
      <c r="AV25">
        <v>27</v>
      </c>
      <c r="AW25">
        <v>30</v>
      </c>
      <c r="AX25">
        <v>515</v>
      </c>
    </row>
    <row r="26" spans="1:50">
      <c r="A26">
        <v>495</v>
      </c>
      <c r="B26">
        <v>1</v>
      </c>
      <c r="C26">
        <v>0</v>
      </c>
      <c r="D26">
        <v>40.695428133254509</v>
      </c>
      <c r="E26">
        <v>40.740662803905892</v>
      </c>
      <c r="F26">
        <v>40.729318306494591</v>
      </c>
      <c r="G26">
        <v>40.737161048620848</v>
      </c>
      <c r="H26">
        <v>40.649510841766499</v>
      </c>
      <c r="I26">
        <v>40.718807230136697</v>
      </c>
      <c r="J26">
        <v>40.704078400872312</v>
      </c>
      <c r="K26">
        <v>40.732045350855017</v>
      </c>
      <c r="L26">
        <v>38.765513439067767</v>
      </c>
      <c r="M26">
        <v>33.057218245902767</v>
      </c>
      <c r="N26">
        <v>32.888641907534179</v>
      </c>
      <c r="O26">
        <v>71.00873415872536</v>
      </c>
      <c r="P26">
        <v>71.445189316720459</v>
      </c>
      <c r="Q26">
        <v>65.908828084815241</v>
      </c>
      <c r="R26">
        <v>65.982115077619312</v>
      </c>
      <c r="S26">
        <v>20.850063393718699</v>
      </c>
      <c r="T26">
        <v>10561.207349261889</v>
      </c>
      <c r="U26">
        <v>63.905476661183343</v>
      </c>
      <c r="V26">
        <v>63.910277603345833</v>
      </c>
      <c r="W26">
        <v>59.974404963705261</v>
      </c>
      <c r="X26">
        <v>2218.5269719662688</v>
      </c>
      <c r="Y26">
        <v>36.317794612700922</v>
      </c>
      <c r="Z26">
        <v>40.686299023403308</v>
      </c>
      <c r="AA26">
        <v>40.726975390125403</v>
      </c>
      <c r="AB26">
        <v>40.682344947837478</v>
      </c>
      <c r="AC26">
        <v>40.709808484502119</v>
      </c>
      <c r="AD26">
        <v>32.965501534755269</v>
      </c>
      <c r="AE26">
        <v>65.886533935679608</v>
      </c>
      <c r="AF26">
        <v>36.301541659418888</v>
      </c>
      <c r="AG26">
        <v>63.88575525092385</v>
      </c>
      <c r="AH26">
        <v>71.175663047423825</v>
      </c>
      <c r="AI26">
        <v>6.0934034401727244</v>
      </c>
      <c r="AJ26">
        <v>4.3266978126957039</v>
      </c>
      <c r="AK26">
        <v>37.231316550307326</v>
      </c>
      <c r="AL26">
        <v>29.05790677146306</v>
      </c>
      <c r="AM26">
        <v>2772.7906378818038</v>
      </c>
      <c r="AN26">
        <v>3489.239875855058</v>
      </c>
      <c r="AO26">
        <v>9.5801850861458142</v>
      </c>
      <c r="AP26">
        <v>9.6185537104271273</v>
      </c>
      <c r="AQ26">
        <v>14.33393240642445</v>
      </c>
      <c r="AR26">
        <v>3157.414818323703</v>
      </c>
      <c r="AS26">
        <v>41.641241945374723</v>
      </c>
      <c r="AT26">
        <v>2225.3089850529891</v>
      </c>
      <c r="AU26">
        <v>503</v>
      </c>
      <c r="AV26">
        <v>27</v>
      </c>
      <c r="AW26">
        <v>13.4319347432836</v>
      </c>
      <c r="AX26">
        <v>515</v>
      </c>
    </row>
    <row r="27" spans="1:50">
      <c r="A27">
        <v>525</v>
      </c>
      <c r="B27">
        <v>1</v>
      </c>
      <c r="C27">
        <v>0</v>
      </c>
      <c r="D27">
        <v>40.861988840813638</v>
      </c>
      <c r="E27">
        <v>40.9154769774496</v>
      </c>
      <c r="F27">
        <v>40.867747299783233</v>
      </c>
      <c r="G27">
        <v>40.870275948487091</v>
      </c>
      <c r="H27">
        <v>40.840125384252211</v>
      </c>
      <c r="I27">
        <v>40.901334027524562</v>
      </c>
      <c r="J27">
        <v>40.86976090041987</v>
      </c>
      <c r="K27">
        <v>40.887810198480167</v>
      </c>
      <c r="L27">
        <v>38.981418672808537</v>
      </c>
      <c r="M27">
        <v>30.442281071136922</v>
      </c>
      <c r="N27">
        <v>30.35922752790054</v>
      </c>
      <c r="O27">
        <v>43.964465967415499</v>
      </c>
      <c r="P27">
        <v>44.019290769480733</v>
      </c>
      <c r="Q27">
        <v>41.368624838607928</v>
      </c>
      <c r="R27">
        <v>41.352542639120557</v>
      </c>
      <c r="S27">
        <v>24.746192362307081</v>
      </c>
      <c r="T27">
        <v>9934.0521432151345</v>
      </c>
      <c r="U27">
        <v>42.111832066549837</v>
      </c>
      <c r="V27">
        <v>41.945824416531252</v>
      </c>
      <c r="W27">
        <v>40.134923566754942</v>
      </c>
      <c r="X27">
        <v>2215.9055996246821</v>
      </c>
      <c r="Y27">
        <v>31.90261757371206</v>
      </c>
      <c r="Z27">
        <v>40.867851044104277</v>
      </c>
      <c r="AA27">
        <v>40.857516950388501</v>
      </c>
      <c r="AB27">
        <v>40.84283529923313</v>
      </c>
      <c r="AC27">
        <v>40.855366698189243</v>
      </c>
      <c r="AD27">
        <v>30.388094639264111</v>
      </c>
      <c r="AE27">
        <v>41.293099695870417</v>
      </c>
      <c r="AF27">
        <v>31.784379641504721</v>
      </c>
      <c r="AG27">
        <v>41.992105854647889</v>
      </c>
      <c r="AH27">
        <v>43.945547957348452</v>
      </c>
      <c r="AI27">
        <v>3.5305491251900869</v>
      </c>
      <c r="AJ27">
        <v>2.397965716054526</v>
      </c>
      <c r="AK27">
        <v>14.734416959458819</v>
      </c>
      <c r="AL27">
        <v>11.439434850725799</v>
      </c>
      <c r="AM27">
        <v>1936.4781401399571</v>
      </c>
      <c r="AN27">
        <v>3021.1984661119659</v>
      </c>
      <c r="AO27">
        <v>6.4769212133014964</v>
      </c>
      <c r="AP27">
        <v>6.5106489522746314</v>
      </c>
      <c r="AQ27">
        <v>14.33393240642445</v>
      </c>
      <c r="AR27">
        <v>3157.414818323703</v>
      </c>
      <c r="AS27">
        <v>42.142100644424488</v>
      </c>
      <c r="AT27">
        <v>2225.278450532413</v>
      </c>
      <c r="AU27">
        <v>503</v>
      </c>
      <c r="AV27">
        <v>27</v>
      </c>
      <c r="AW27">
        <v>5</v>
      </c>
      <c r="AX27">
        <v>160</v>
      </c>
    </row>
    <row r="28" spans="1:50">
      <c r="A28">
        <v>525</v>
      </c>
      <c r="B28">
        <v>1</v>
      </c>
      <c r="C28">
        <v>0</v>
      </c>
      <c r="D28">
        <v>40.861988840813638</v>
      </c>
      <c r="E28">
        <v>40.9154769774496</v>
      </c>
      <c r="F28">
        <v>40.867747299783233</v>
      </c>
      <c r="G28">
        <v>40.870275948487091</v>
      </c>
      <c r="H28">
        <v>40.840125384252211</v>
      </c>
      <c r="I28">
        <v>40.901334027524562</v>
      </c>
      <c r="J28">
        <v>40.865542631751779</v>
      </c>
      <c r="K28">
        <v>40.887810198480167</v>
      </c>
      <c r="L28">
        <v>38.981418672808537</v>
      </c>
      <c r="M28">
        <v>30.435080554853201</v>
      </c>
      <c r="N28">
        <v>30.350963620560059</v>
      </c>
      <c r="O28">
        <v>43.962997731835642</v>
      </c>
      <c r="P28">
        <v>44.02398349044249</v>
      </c>
      <c r="Q28">
        <v>41.366452705897018</v>
      </c>
      <c r="R28">
        <v>41.348771304653113</v>
      </c>
      <c r="S28">
        <v>24.743672874715951</v>
      </c>
      <c r="T28">
        <v>9934.0521432151345</v>
      </c>
      <c r="U28">
        <v>42.112321881279648</v>
      </c>
      <c r="V28">
        <v>41.940420424493503</v>
      </c>
      <c r="W28">
        <v>40.135298417858387</v>
      </c>
      <c r="X28">
        <v>2215.9055986100161</v>
      </c>
      <c r="Y28">
        <v>31.89860983525865</v>
      </c>
      <c r="Z28">
        <v>40.867851044104277</v>
      </c>
      <c r="AA28">
        <v>40.857516950388501</v>
      </c>
      <c r="AB28">
        <v>40.84283529923313</v>
      </c>
      <c r="AC28">
        <v>40.855366698189243</v>
      </c>
      <c r="AD28">
        <v>30.381752361226791</v>
      </c>
      <c r="AE28">
        <v>41.294199516223841</v>
      </c>
      <c r="AF28">
        <v>31.78389423202465</v>
      </c>
      <c r="AG28">
        <v>41.992105854647889</v>
      </c>
      <c r="AH28">
        <v>43.943780478408698</v>
      </c>
      <c r="AI28">
        <v>3.5305491251900869</v>
      </c>
      <c r="AJ28">
        <v>2.4017755274291641</v>
      </c>
      <c r="AK28">
        <v>14.733227395057749</v>
      </c>
      <c r="AL28">
        <v>11.439434850725799</v>
      </c>
      <c r="AM28">
        <v>1936.4502082278429</v>
      </c>
      <c r="AN28">
        <v>3021.0024284340411</v>
      </c>
      <c r="AO28">
        <v>6.4769212133014964</v>
      </c>
      <c r="AP28">
        <v>6.5106489522746314</v>
      </c>
      <c r="AQ28">
        <v>14.33393240642445</v>
      </c>
      <c r="AR28">
        <v>3157.414818323703</v>
      </c>
      <c r="AS28">
        <v>42.142100644424488</v>
      </c>
      <c r="AT28">
        <v>2225.278450532413</v>
      </c>
      <c r="AU28">
        <v>503</v>
      </c>
      <c r="AV28">
        <v>27</v>
      </c>
      <c r="AW28">
        <v>5</v>
      </c>
      <c r="AX28">
        <v>160</v>
      </c>
    </row>
    <row r="29" spans="1:50">
      <c r="A29">
        <v>525</v>
      </c>
      <c r="B29">
        <v>1</v>
      </c>
      <c r="C29">
        <v>0</v>
      </c>
      <c r="D29">
        <v>40.861988840813638</v>
      </c>
      <c r="E29">
        <v>40.9154769774496</v>
      </c>
      <c r="F29">
        <v>40.867747299783233</v>
      </c>
      <c r="G29">
        <v>40.869016725531409</v>
      </c>
      <c r="H29">
        <v>40.840125384252211</v>
      </c>
      <c r="I29">
        <v>40.901334027524562</v>
      </c>
      <c r="J29">
        <v>40.865542631751779</v>
      </c>
      <c r="K29">
        <v>40.887810198480167</v>
      </c>
      <c r="L29">
        <v>38.981418672808537</v>
      </c>
      <c r="M29">
        <v>30.429900194907809</v>
      </c>
      <c r="N29">
        <v>30.346538310139731</v>
      </c>
      <c r="O29">
        <v>43.960240510325853</v>
      </c>
      <c r="P29">
        <v>44.009819899679123</v>
      </c>
      <c r="Q29">
        <v>41.358383983303732</v>
      </c>
      <c r="R29">
        <v>41.341568011167489</v>
      </c>
      <c r="S29">
        <v>24.741172012583299</v>
      </c>
      <c r="T29">
        <v>9934.0529491092548</v>
      </c>
      <c r="U29">
        <v>42.097866121958013</v>
      </c>
      <c r="V29">
        <v>41.931451380248703</v>
      </c>
      <c r="W29">
        <v>40.13303747338378</v>
      </c>
      <c r="X29">
        <v>2215.9063864119498</v>
      </c>
      <c r="Y29">
        <v>31.902027609996221</v>
      </c>
      <c r="Z29">
        <v>40.867851044104277</v>
      </c>
      <c r="AA29">
        <v>40.85651630866117</v>
      </c>
      <c r="AB29">
        <v>40.84283529923313</v>
      </c>
      <c r="AC29">
        <v>40.855366698189243</v>
      </c>
      <c r="AD29">
        <v>30.377755494658171</v>
      </c>
      <c r="AE29">
        <v>41.288729961213377</v>
      </c>
      <c r="AF29">
        <v>31.78389423202465</v>
      </c>
      <c r="AG29">
        <v>41.990035304431203</v>
      </c>
      <c r="AH29">
        <v>43.939954468740908</v>
      </c>
      <c r="AI29">
        <v>3.5328920261779788</v>
      </c>
      <c r="AJ29">
        <v>2.4040349561478629</v>
      </c>
      <c r="AK29">
        <v>14.740731697512601</v>
      </c>
      <c r="AL29">
        <v>11.44601291520005</v>
      </c>
      <c r="AM29">
        <v>1935.4830202055621</v>
      </c>
      <c r="AN29">
        <v>3020.689232676441</v>
      </c>
      <c r="AO29">
        <v>6.4769212133014964</v>
      </c>
      <c r="AP29">
        <v>6.5106489522746314</v>
      </c>
      <c r="AQ29">
        <v>14.33393240642445</v>
      </c>
      <c r="AR29">
        <v>3157.414818323703</v>
      </c>
      <c r="AS29">
        <v>42.142949807584728</v>
      </c>
      <c r="AT29">
        <v>2225.278450532413</v>
      </c>
      <c r="AU29">
        <v>503</v>
      </c>
      <c r="AV29">
        <v>27</v>
      </c>
      <c r="AW29">
        <v>10.361496963130721</v>
      </c>
      <c r="AX29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X29"/>
  <sheetViews>
    <sheetView topLeftCell="V1" workbookViewId="0">
      <selection activeCell="AI2" sqref="AI2:AI29"/>
    </sheetView>
  </sheetViews>
  <sheetFormatPr defaultRowHeight="14.45"/>
  <sheetData>
    <row r="1" spans="1:50">
      <c r="A1" s="15" t="s">
        <v>19</v>
      </c>
      <c r="B1" s="15" t="s">
        <v>20</v>
      </c>
      <c r="C1" s="15" t="s">
        <v>21</v>
      </c>
      <c r="D1" s="15" t="s">
        <v>22</v>
      </c>
      <c r="E1" s="15" t="s">
        <v>23</v>
      </c>
      <c r="F1" s="15" t="s">
        <v>24</v>
      </c>
      <c r="G1" s="15" t="s">
        <v>25</v>
      </c>
      <c r="H1" s="15" t="s">
        <v>26</v>
      </c>
      <c r="I1" s="15" t="s">
        <v>27</v>
      </c>
      <c r="J1" s="15" t="s">
        <v>28</v>
      </c>
      <c r="K1" s="15" t="s">
        <v>29</v>
      </c>
      <c r="L1" s="15" t="s">
        <v>30</v>
      </c>
      <c r="M1" s="15" t="s">
        <v>31</v>
      </c>
      <c r="N1" s="15" t="s">
        <v>32</v>
      </c>
      <c r="O1" s="15" t="s">
        <v>33</v>
      </c>
      <c r="P1" s="15" t="s">
        <v>34</v>
      </c>
      <c r="Q1" s="15" t="s">
        <v>35</v>
      </c>
      <c r="R1" s="15" t="s">
        <v>36</v>
      </c>
      <c r="S1" s="15" t="s">
        <v>37</v>
      </c>
      <c r="T1" s="15" t="s">
        <v>38</v>
      </c>
      <c r="U1" s="15" t="s">
        <v>39</v>
      </c>
      <c r="V1" s="15" t="s">
        <v>40</v>
      </c>
      <c r="W1" s="15" t="s">
        <v>41</v>
      </c>
      <c r="X1" s="15" t="s">
        <v>42</v>
      </c>
      <c r="Y1" s="15" t="s">
        <v>43</v>
      </c>
      <c r="Z1" s="15" t="s">
        <v>44</v>
      </c>
      <c r="AA1" s="15" t="s">
        <v>45</v>
      </c>
      <c r="AB1" s="15" t="s">
        <v>46</v>
      </c>
      <c r="AC1" s="15" t="s">
        <v>47</v>
      </c>
      <c r="AD1" s="15" t="s">
        <v>48</v>
      </c>
      <c r="AE1" s="15" t="s">
        <v>49</v>
      </c>
      <c r="AF1" s="15" t="s">
        <v>50</v>
      </c>
      <c r="AG1" s="15" t="s">
        <v>51</v>
      </c>
      <c r="AH1" s="15" t="s">
        <v>52</v>
      </c>
      <c r="AI1" s="15" t="s">
        <v>53</v>
      </c>
      <c r="AJ1" s="15" t="s">
        <v>54</v>
      </c>
      <c r="AK1" s="15" t="s">
        <v>55</v>
      </c>
      <c r="AL1" s="15" t="s">
        <v>56</v>
      </c>
      <c r="AM1" s="15" t="s">
        <v>57</v>
      </c>
      <c r="AN1" s="15" t="s">
        <v>58</v>
      </c>
      <c r="AO1" s="15" t="s">
        <v>59</v>
      </c>
      <c r="AP1" s="15" t="s">
        <v>60</v>
      </c>
      <c r="AQ1" s="15" t="s">
        <v>61</v>
      </c>
      <c r="AR1" s="15" t="s">
        <v>62</v>
      </c>
      <c r="AS1" s="15" t="s">
        <v>63</v>
      </c>
      <c r="AT1" s="15" t="s">
        <v>64</v>
      </c>
      <c r="AU1" s="15" t="s">
        <v>65</v>
      </c>
      <c r="AV1" s="15" t="s">
        <v>66</v>
      </c>
      <c r="AW1" s="15" t="s">
        <v>67</v>
      </c>
      <c r="AX1" s="15" t="s">
        <v>68</v>
      </c>
    </row>
    <row r="2" spans="1:50">
      <c r="A2">
        <v>15</v>
      </c>
      <c r="B2">
        <v>1</v>
      </c>
      <c r="C2">
        <v>0</v>
      </c>
      <c r="D2">
        <v>21.3</v>
      </c>
      <c r="E2">
        <v>21.4</v>
      </c>
      <c r="F2">
        <v>21.5</v>
      </c>
      <c r="G2">
        <v>21.4</v>
      </c>
      <c r="H2">
        <v>21.4</v>
      </c>
      <c r="I2">
        <v>21.3</v>
      </c>
      <c r="J2">
        <v>21.4</v>
      </c>
      <c r="K2">
        <v>21.4</v>
      </c>
      <c r="L2">
        <v>20.9</v>
      </c>
      <c r="M2">
        <v>18.3</v>
      </c>
      <c r="N2">
        <v>18.3</v>
      </c>
      <c r="O2">
        <v>23.9</v>
      </c>
      <c r="P2">
        <v>23.9</v>
      </c>
      <c r="Q2">
        <v>22.8</v>
      </c>
      <c r="R2">
        <v>23.4</v>
      </c>
      <c r="S2">
        <v>13.8</v>
      </c>
      <c r="T2">
        <v>0</v>
      </c>
      <c r="U2">
        <v>25.3</v>
      </c>
      <c r="V2">
        <v>25.6</v>
      </c>
      <c r="W2">
        <v>24.7</v>
      </c>
      <c r="X2">
        <v>20.6</v>
      </c>
      <c r="Y2">
        <v>20.6</v>
      </c>
      <c r="Z2">
        <v>21.3</v>
      </c>
      <c r="AA2">
        <v>21.4</v>
      </c>
      <c r="AB2">
        <v>21.3</v>
      </c>
      <c r="AC2">
        <v>21.4</v>
      </c>
      <c r="AD2">
        <v>18.3</v>
      </c>
      <c r="AE2">
        <v>23.1</v>
      </c>
      <c r="AF2">
        <v>20.6</v>
      </c>
      <c r="AG2">
        <v>25.4</v>
      </c>
      <c r="AH2">
        <v>23.9</v>
      </c>
      <c r="AI2">
        <v>0.4</v>
      </c>
      <c r="AJ2">
        <v>0.8</v>
      </c>
      <c r="AK2">
        <v>11.9</v>
      </c>
      <c r="AL2">
        <v>6.6</v>
      </c>
      <c r="AM2">
        <v>4.3</v>
      </c>
      <c r="AN2">
        <v>0</v>
      </c>
      <c r="AO2">
        <v>0</v>
      </c>
      <c r="AP2">
        <v>0</v>
      </c>
      <c r="AQ2">
        <v>0</v>
      </c>
      <c r="AR2">
        <v>7.4</v>
      </c>
      <c r="AS2">
        <v>5.7</v>
      </c>
      <c r="AT2">
        <v>1.5</v>
      </c>
      <c r="AU2">
        <v>15</v>
      </c>
      <c r="AV2">
        <v>21</v>
      </c>
      <c r="AW2">
        <v>5</v>
      </c>
      <c r="AX2">
        <v>100</v>
      </c>
    </row>
    <row r="3" spans="1:50">
      <c r="A3">
        <v>75</v>
      </c>
      <c r="B3">
        <v>1</v>
      </c>
      <c r="C3">
        <v>0</v>
      </c>
      <c r="D3">
        <v>21.6</v>
      </c>
      <c r="E3">
        <v>21.6</v>
      </c>
      <c r="F3">
        <v>21.7</v>
      </c>
      <c r="G3">
        <v>21.7</v>
      </c>
      <c r="H3">
        <v>21.6</v>
      </c>
      <c r="I3">
        <v>21.6</v>
      </c>
      <c r="J3">
        <v>21.6</v>
      </c>
      <c r="K3">
        <v>21.7</v>
      </c>
      <c r="L3">
        <v>21.1</v>
      </c>
      <c r="M3">
        <v>22.2</v>
      </c>
      <c r="N3">
        <v>22.1</v>
      </c>
      <c r="O3">
        <v>27.6</v>
      </c>
      <c r="P3">
        <v>28.4</v>
      </c>
      <c r="Q3">
        <v>26.2</v>
      </c>
      <c r="R3">
        <v>26.2</v>
      </c>
      <c r="S3">
        <v>17</v>
      </c>
      <c r="T3">
        <v>0</v>
      </c>
      <c r="U3">
        <v>27.3</v>
      </c>
      <c r="V3">
        <v>27.7</v>
      </c>
      <c r="W3">
        <v>26.7</v>
      </c>
      <c r="X3">
        <v>22.7</v>
      </c>
      <c r="Y3">
        <v>22.7</v>
      </c>
      <c r="Z3">
        <v>21.6</v>
      </c>
      <c r="AA3">
        <v>21.7</v>
      </c>
      <c r="AB3">
        <v>21.6</v>
      </c>
      <c r="AC3">
        <v>21.6</v>
      </c>
      <c r="AD3">
        <v>22.2</v>
      </c>
      <c r="AE3">
        <v>26.2</v>
      </c>
      <c r="AF3">
        <v>22.7</v>
      </c>
      <c r="AG3">
        <v>27.5</v>
      </c>
      <c r="AH3">
        <v>28</v>
      </c>
      <c r="AI3">
        <v>0.4</v>
      </c>
      <c r="AJ3">
        <v>0.8</v>
      </c>
      <c r="AK3">
        <v>6.6</v>
      </c>
      <c r="AL3">
        <v>4.8</v>
      </c>
      <c r="AM3">
        <v>1099.7</v>
      </c>
      <c r="AN3">
        <v>694.3</v>
      </c>
      <c r="AO3">
        <v>5.6</v>
      </c>
      <c r="AP3">
        <v>5.6</v>
      </c>
      <c r="AQ3">
        <v>0</v>
      </c>
      <c r="AR3">
        <v>9.9</v>
      </c>
      <c r="AS3">
        <v>5.7</v>
      </c>
      <c r="AT3">
        <v>1.4</v>
      </c>
      <c r="AU3">
        <v>15</v>
      </c>
      <c r="AV3">
        <v>21</v>
      </c>
      <c r="AW3">
        <v>5</v>
      </c>
      <c r="AX3">
        <v>160</v>
      </c>
    </row>
    <row r="4" spans="1:50">
      <c r="A4">
        <v>75</v>
      </c>
      <c r="B4">
        <v>1</v>
      </c>
      <c r="C4">
        <v>0</v>
      </c>
      <c r="D4">
        <v>21.6</v>
      </c>
      <c r="E4">
        <v>21.6</v>
      </c>
      <c r="F4">
        <v>21.7</v>
      </c>
      <c r="G4">
        <v>21.7</v>
      </c>
      <c r="H4">
        <v>21.6</v>
      </c>
      <c r="I4">
        <v>21.6</v>
      </c>
      <c r="J4">
        <v>21.6</v>
      </c>
      <c r="K4">
        <v>21.7</v>
      </c>
      <c r="L4">
        <v>21.1</v>
      </c>
      <c r="M4">
        <v>22.2</v>
      </c>
      <c r="N4">
        <v>22.1</v>
      </c>
      <c r="O4">
        <v>27.6</v>
      </c>
      <c r="P4">
        <v>28.4</v>
      </c>
      <c r="Q4">
        <v>26.2</v>
      </c>
      <c r="R4">
        <v>26.2</v>
      </c>
      <c r="S4">
        <v>17</v>
      </c>
      <c r="T4">
        <v>0</v>
      </c>
      <c r="U4">
        <v>27.3</v>
      </c>
      <c r="V4">
        <v>27.7</v>
      </c>
      <c r="W4">
        <v>26.7</v>
      </c>
      <c r="X4">
        <v>22.7</v>
      </c>
      <c r="Y4">
        <v>22.7</v>
      </c>
      <c r="Z4">
        <v>21.6</v>
      </c>
      <c r="AA4">
        <v>21.7</v>
      </c>
      <c r="AB4">
        <v>21.6</v>
      </c>
      <c r="AC4">
        <v>21.6</v>
      </c>
      <c r="AD4">
        <v>22.2</v>
      </c>
      <c r="AE4">
        <v>26.2</v>
      </c>
      <c r="AF4">
        <v>22.7</v>
      </c>
      <c r="AG4">
        <v>27.5</v>
      </c>
      <c r="AH4">
        <v>28</v>
      </c>
      <c r="AI4">
        <v>0.4</v>
      </c>
      <c r="AJ4">
        <v>0.8</v>
      </c>
      <c r="AK4">
        <v>6.6</v>
      </c>
      <c r="AL4">
        <v>4.8</v>
      </c>
      <c r="AM4">
        <v>1099.7</v>
      </c>
      <c r="AN4">
        <v>694.3</v>
      </c>
      <c r="AO4">
        <v>5.6</v>
      </c>
      <c r="AP4">
        <v>5.6</v>
      </c>
      <c r="AQ4">
        <v>0</v>
      </c>
      <c r="AR4">
        <v>9.9</v>
      </c>
      <c r="AS4">
        <v>5.7</v>
      </c>
      <c r="AT4">
        <v>1.4</v>
      </c>
      <c r="AU4">
        <v>15</v>
      </c>
      <c r="AV4">
        <v>21</v>
      </c>
      <c r="AW4">
        <v>5</v>
      </c>
      <c r="AX4">
        <v>160</v>
      </c>
    </row>
    <row r="5" spans="1:50">
      <c r="A5">
        <v>75</v>
      </c>
      <c r="B5">
        <v>1</v>
      </c>
      <c r="C5">
        <v>0</v>
      </c>
      <c r="D5">
        <v>21.6</v>
      </c>
      <c r="E5">
        <v>21.6</v>
      </c>
      <c r="F5">
        <v>21.7</v>
      </c>
      <c r="G5">
        <v>21.7</v>
      </c>
      <c r="H5">
        <v>21.6</v>
      </c>
      <c r="I5">
        <v>21.6</v>
      </c>
      <c r="J5">
        <v>21.6</v>
      </c>
      <c r="K5">
        <v>21.7</v>
      </c>
      <c r="L5">
        <v>21.1</v>
      </c>
      <c r="M5">
        <v>22.2</v>
      </c>
      <c r="N5">
        <v>22.1</v>
      </c>
      <c r="O5">
        <v>27.6</v>
      </c>
      <c r="P5">
        <v>28.4</v>
      </c>
      <c r="Q5">
        <v>26.2</v>
      </c>
      <c r="R5">
        <v>26.2</v>
      </c>
      <c r="S5">
        <v>17</v>
      </c>
      <c r="T5">
        <v>0</v>
      </c>
      <c r="U5">
        <v>27.3</v>
      </c>
      <c r="V5">
        <v>27.7</v>
      </c>
      <c r="W5">
        <v>26.7</v>
      </c>
      <c r="X5">
        <v>22.7</v>
      </c>
      <c r="Y5">
        <v>22.7</v>
      </c>
      <c r="Z5">
        <v>21.6</v>
      </c>
      <c r="AA5">
        <v>21.7</v>
      </c>
      <c r="AB5">
        <v>21.6</v>
      </c>
      <c r="AC5">
        <v>21.6</v>
      </c>
      <c r="AD5">
        <v>22.2</v>
      </c>
      <c r="AE5">
        <v>26.2</v>
      </c>
      <c r="AF5">
        <v>22.7</v>
      </c>
      <c r="AG5">
        <v>27.5</v>
      </c>
      <c r="AH5">
        <v>28</v>
      </c>
      <c r="AI5">
        <v>0.4</v>
      </c>
      <c r="AJ5">
        <v>0.8</v>
      </c>
      <c r="AK5">
        <v>6.6</v>
      </c>
      <c r="AL5">
        <v>4.8</v>
      </c>
      <c r="AM5">
        <v>1096.8</v>
      </c>
      <c r="AN5">
        <v>694.3</v>
      </c>
      <c r="AO5">
        <v>5.6</v>
      </c>
      <c r="AP5">
        <v>5.6</v>
      </c>
      <c r="AQ5">
        <v>0</v>
      </c>
      <c r="AR5">
        <v>9.9</v>
      </c>
      <c r="AS5">
        <v>5.7</v>
      </c>
      <c r="AT5">
        <v>1.4</v>
      </c>
      <c r="AU5">
        <v>15</v>
      </c>
      <c r="AV5">
        <v>21</v>
      </c>
      <c r="AW5">
        <v>10</v>
      </c>
      <c r="AX5">
        <v>160</v>
      </c>
    </row>
    <row r="6" spans="1:50">
      <c r="A6">
        <v>135</v>
      </c>
      <c r="B6">
        <v>1</v>
      </c>
      <c r="C6">
        <v>0</v>
      </c>
      <c r="D6">
        <v>21.8</v>
      </c>
      <c r="E6">
        <v>21.8</v>
      </c>
      <c r="F6">
        <v>21.9</v>
      </c>
      <c r="G6">
        <v>21.9</v>
      </c>
      <c r="H6">
        <v>21.8</v>
      </c>
      <c r="I6">
        <v>21.8</v>
      </c>
      <c r="J6">
        <v>21.8</v>
      </c>
      <c r="K6">
        <v>21.9</v>
      </c>
      <c r="L6">
        <v>21.2</v>
      </c>
      <c r="M6">
        <v>21.9</v>
      </c>
      <c r="N6">
        <v>21.8</v>
      </c>
      <c r="O6">
        <v>30.4</v>
      </c>
      <c r="P6">
        <v>30.7</v>
      </c>
      <c r="Q6">
        <v>28.4</v>
      </c>
      <c r="R6">
        <v>28.4</v>
      </c>
      <c r="S6">
        <v>17</v>
      </c>
      <c r="T6">
        <v>0</v>
      </c>
      <c r="U6">
        <v>29.1</v>
      </c>
      <c r="V6">
        <v>29.5</v>
      </c>
      <c r="W6">
        <v>28.3</v>
      </c>
      <c r="X6">
        <v>22.7</v>
      </c>
      <c r="Y6">
        <v>22.8</v>
      </c>
      <c r="Z6">
        <v>21.8</v>
      </c>
      <c r="AA6">
        <v>21.9</v>
      </c>
      <c r="AB6">
        <v>21.8</v>
      </c>
      <c r="AC6">
        <v>21.9</v>
      </c>
      <c r="AD6">
        <v>21.9</v>
      </c>
      <c r="AE6">
        <v>28.4</v>
      </c>
      <c r="AF6">
        <v>22.7</v>
      </c>
      <c r="AG6">
        <v>29.3</v>
      </c>
      <c r="AH6">
        <v>30.7</v>
      </c>
      <c r="AI6">
        <v>0.5</v>
      </c>
      <c r="AJ6">
        <v>0.9</v>
      </c>
      <c r="AK6">
        <v>9.1999999999999993</v>
      </c>
      <c r="AL6">
        <v>6.8</v>
      </c>
      <c r="AM6">
        <v>1106.9000000000001</v>
      </c>
      <c r="AN6">
        <v>692.9</v>
      </c>
      <c r="AO6">
        <v>5.6</v>
      </c>
      <c r="AP6">
        <v>5.6</v>
      </c>
      <c r="AQ6">
        <v>0</v>
      </c>
      <c r="AR6">
        <v>9.9</v>
      </c>
      <c r="AS6">
        <v>5.8</v>
      </c>
      <c r="AT6">
        <v>1.3</v>
      </c>
      <c r="AU6">
        <v>15</v>
      </c>
      <c r="AV6">
        <v>21</v>
      </c>
      <c r="AW6">
        <v>10</v>
      </c>
      <c r="AX6">
        <v>320</v>
      </c>
    </row>
    <row r="7" spans="1:50">
      <c r="A7">
        <v>135</v>
      </c>
      <c r="B7">
        <v>1</v>
      </c>
      <c r="C7">
        <v>0</v>
      </c>
      <c r="D7">
        <v>21.8</v>
      </c>
      <c r="E7">
        <v>21.8</v>
      </c>
      <c r="F7">
        <v>21.9</v>
      </c>
      <c r="G7">
        <v>21.9</v>
      </c>
      <c r="H7">
        <v>21.8</v>
      </c>
      <c r="I7">
        <v>21.8</v>
      </c>
      <c r="J7">
        <v>21.8</v>
      </c>
      <c r="K7">
        <v>21.9</v>
      </c>
      <c r="L7">
        <v>21.2</v>
      </c>
      <c r="M7">
        <v>21.9</v>
      </c>
      <c r="N7">
        <v>21.8</v>
      </c>
      <c r="O7">
        <v>30.6</v>
      </c>
      <c r="P7">
        <v>30.9</v>
      </c>
      <c r="Q7">
        <v>28.5</v>
      </c>
      <c r="R7">
        <v>28.5</v>
      </c>
      <c r="S7">
        <v>17</v>
      </c>
      <c r="T7">
        <v>0</v>
      </c>
      <c r="U7">
        <v>29.2</v>
      </c>
      <c r="V7">
        <v>29.7</v>
      </c>
      <c r="W7">
        <v>28.5</v>
      </c>
      <c r="X7">
        <v>22.7</v>
      </c>
      <c r="Y7">
        <v>22.7</v>
      </c>
      <c r="Z7">
        <v>21.8</v>
      </c>
      <c r="AA7">
        <v>21.9</v>
      </c>
      <c r="AB7">
        <v>21.8</v>
      </c>
      <c r="AC7">
        <v>21.9</v>
      </c>
      <c r="AD7">
        <v>21.9</v>
      </c>
      <c r="AE7">
        <v>28.5</v>
      </c>
      <c r="AF7">
        <v>22.7</v>
      </c>
      <c r="AG7">
        <v>29.5</v>
      </c>
      <c r="AH7">
        <v>30.7</v>
      </c>
      <c r="AI7">
        <v>0.5</v>
      </c>
      <c r="AJ7">
        <v>0.9</v>
      </c>
      <c r="AK7">
        <v>9.1999999999999993</v>
      </c>
      <c r="AL7">
        <v>6.8</v>
      </c>
      <c r="AM7">
        <v>1106.9000000000001</v>
      </c>
      <c r="AN7">
        <v>692.9</v>
      </c>
      <c r="AO7">
        <v>5.6</v>
      </c>
      <c r="AP7">
        <v>5.6</v>
      </c>
      <c r="AQ7">
        <v>0</v>
      </c>
      <c r="AR7">
        <v>9.9</v>
      </c>
      <c r="AS7">
        <v>5.8</v>
      </c>
      <c r="AT7">
        <v>1.3</v>
      </c>
      <c r="AU7">
        <v>15</v>
      </c>
      <c r="AV7">
        <v>22</v>
      </c>
      <c r="AW7">
        <v>10</v>
      </c>
      <c r="AX7">
        <v>320</v>
      </c>
    </row>
    <row r="8" spans="1:50">
      <c r="A8">
        <v>135</v>
      </c>
      <c r="B8">
        <v>1</v>
      </c>
      <c r="C8">
        <v>0</v>
      </c>
      <c r="D8">
        <v>21.8</v>
      </c>
      <c r="E8">
        <v>21.8</v>
      </c>
      <c r="F8">
        <v>21.9</v>
      </c>
      <c r="G8">
        <v>21.9</v>
      </c>
      <c r="H8">
        <v>21.8</v>
      </c>
      <c r="I8">
        <v>21.8</v>
      </c>
      <c r="J8">
        <v>21.8</v>
      </c>
      <c r="K8">
        <v>21.9</v>
      </c>
      <c r="L8">
        <v>21.2</v>
      </c>
      <c r="M8">
        <v>21.9</v>
      </c>
      <c r="N8">
        <v>21.8</v>
      </c>
      <c r="O8">
        <v>30.6</v>
      </c>
      <c r="P8">
        <v>30.9</v>
      </c>
      <c r="Q8">
        <v>28.5</v>
      </c>
      <c r="R8">
        <v>28.5</v>
      </c>
      <c r="S8">
        <v>17</v>
      </c>
      <c r="T8">
        <v>0</v>
      </c>
      <c r="U8">
        <v>29.2</v>
      </c>
      <c r="V8">
        <v>29.7</v>
      </c>
      <c r="W8">
        <v>28.5</v>
      </c>
      <c r="X8">
        <v>22.7</v>
      </c>
      <c r="Y8">
        <v>22.7</v>
      </c>
      <c r="Z8">
        <v>21.8</v>
      </c>
      <c r="AA8">
        <v>21.9</v>
      </c>
      <c r="AB8">
        <v>21.8</v>
      </c>
      <c r="AC8">
        <v>21.9</v>
      </c>
      <c r="AD8">
        <v>21.9</v>
      </c>
      <c r="AE8">
        <v>28.5</v>
      </c>
      <c r="AF8">
        <v>22.7</v>
      </c>
      <c r="AG8">
        <v>29.5</v>
      </c>
      <c r="AH8">
        <v>30.7</v>
      </c>
      <c r="AI8">
        <v>0.5</v>
      </c>
      <c r="AJ8">
        <v>0.9</v>
      </c>
      <c r="AK8">
        <v>9.1999999999999993</v>
      </c>
      <c r="AL8">
        <v>6.8</v>
      </c>
      <c r="AM8">
        <v>1106.9000000000001</v>
      </c>
      <c r="AN8">
        <v>692.9</v>
      </c>
      <c r="AO8">
        <v>5.6</v>
      </c>
      <c r="AP8">
        <v>5.6</v>
      </c>
      <c r="AQ8">
        <v>0</v>
      </c>
      <c r="AR8">
        <v>9.9</v>
      </c>
      <c r="AS8">
        <v>5.8</v>
      </c>
      <c r="AT8">
        <v>1.3</v>
      </c>
      <c r="AU8">
        <v>15</v>
      </c>
      <c r="AV8">
        <v>22</v>
      </c>
      <c r="AW8">
        <v>10</v>
      </c>
      <c r="AX8">
        <v>320</v>
      </c>
    </row>
    <row r="9" spans="1:50">
      <c r="A9">
        <v>195</v>
      </c>
      <c r="B9">
        <v>1</v>
      </c>
      <c r="C9">
        <v>0</v>
      </c>
      <c r="D9">
        <v>22.2</v>
      </c>
      <c r="E9">
        <v>22.3</v>
      </c>
      <c r="F9">
        <v>22.4</v>
      </c>
      <c r="G9">
        <v>22.3</v>
      </c>
      <c r="H9">
        <v>22.2</v>
      </c>
      <c r="I9">
        <v>22.2</v>
      </c>
      <c r="J9">
        <v>22.3</v>
      </c>
      <c r="K9">
        <v>22.4</v>
      </c>
      <c r="L9">
        <v>21.5</v>
      </c>
      <c r="M9">
        <v>22.1</v>
      </c>
      <c r="N9">
        <v>22</v>
      </c>
      <c r="O9">
        <v>34.9</v>
      </c>
      <c r="P9">
        <v>35.4</v>
      </c>
      <c r="Q9">
        <v>32.799999999999997</v>
      </c>
      <c r="R9">
        <v>32.799999999999997</v>
      </c>
      <c r="S9">
        <v>14.5</v>
      </c>
      <c r="T9">
        <v>0</v>
      </c>
      <c r="U9">
        <v>32.9</v>
      </c>
      <c r="V9">
        <v>33.4</v>
      </c>
      <c r="W9">
        <v>31.7</v>
      </c>
      <c r="X9">
        <v>23.2</v>
      </c>
      <c r="Y9">
        <v>23.3</v>
      </c>
      <c r="Z9">
        <v>22.2</v>
      </c>
      <c r="AA9">
        <v>22.3</v>
      </c>
      <c r="AB9">
        <v>22.2</v>
      </c>
      <c r="AC9">
        <v>22.3</v>
      </c>
      <c r="AD9">
        <v>22.1</v>
      </c>
      <c r="AE9">
        <v>32.799999999999997</v>
      </c>
      <c r="AF9">
        <v>23.3</v>
      </c>
      <c r="AG9">
        <v>33.1</v>
      </c>
      <c r="AH9">
        <v>35.1</v>
      </c>
      <c r="AI9">
        <v>0.6</v>
      </c>
      <c r="AJ9">
        <v>1.4</v>
      </c>
      <c r="AK9">
        <v>12.8</v>
      </c>
      <c r="AL9">
        <v>9.9</v>
      </c>
      <c r="AM9">
        <v>1384.3</v>
      </c>
      <c r="AN9">
        <v>833.8</v>
      </c>
      <c r="AO9">
        <v>5.6</v>
      </c>
      <c r="AP9">
        <v>5.6</v>
      </c>
      <c r="AQ9">
        <v>0</v>
      </c>
      <c r="AR9">
        <v>9.9</v>
      </c>
      <c r="AS9">
        <v>5.8</v>
      </c>
      <c r="AT9">
        <v>1.3</v>
      </c>
      <c r="AU9">
        <v>15</v>
      </c>
      <c r="AV9">
        <v>22</v>
      </c>
      <c r="AW9">
        <v>25</v>
      </c>
      <c r="AX9">
        <v>480</v>
      </c>
    </row>
    <row r="10" spans="1:50">
      <c r="A10">
        <v>195</v>
      </c>
      <c r="B10">
        <v>1</v>
      </c>
      <c r="C10">
        <v>0</v>
      </c>
      <c r="D10">
        <v>22.2</v>
      </c>
      <c r="E10">
        <v>22.3</v>
      </c>
      <c r="F10">
        <v>22.4</v>
      </c>
      <c r="G10">
        <v>22.3</v>
      </c>
      <c r="H10">
        <v>22.2</v>
      </c>
      <c r="I10">
        <v>22.2</v>
      </c>
      <c r="J10">
        <v>22.3</v>
      </c>
      <c r="K10">
        <v>22.4</v>
      </c>
      <c r="L10">
        <v>21.5</v>
      </c>
      <c r="M10">
        <v>22.1</v>
      </c>
      <c r="N10">
        <v>22</v>
      </c>
      <c r="O10">
        <v>34.9</v>
      </c>
      <c r="P10">
        <v>35.4</v>
      </c>
      <c r="Q10">
        <v>32.799999999999997</v>
      </c>
      <c r="R10">
        <v>32.799999999999997</v>
      </c>
      <c r="S10">
        <v>14.6</v>
      </c>
      <c r="T10">
        <v>0</v>
      </c>
      <c r="U10">
        <v>32.9</v>
      </c>
      <c r="V10">
        <v>33.4</v>
      </c>
      <c r="W10">
        <v>31.7</v>
      </c>
      <c r="X10">
        <v>23.2</v>
      </c>
      <c r="Y10">
        <v>23.3</v>
      </c>
      <c r="Z10">
        <v>22.2</v>
      </c>
      <c r="AA10">
        <v>22.3</v>
      </c>
      <c r="AB10">
        <v>22.2</v>
      </c>
      <c r="AC10">
        <v>22.3</v>
      </c>
      <c r="AD10">
        <v>22.1</v>
      </c>
      <c r="AE10">
        <v>32.799999999999997</v>
      </c>
      <c r="AF10">
        <v>23.3</v>
      </c>
      <c r="AG10">
        <v>33.1</v>
      </c>
      <c r="AH10">
        <v>35.1</v>
      </c>
      <c r="AI10">
        <v>0.6</v>
      </c>
      <c r="AJ10">
        <v>1.4</v>
      </c>
      <c r="AK10">
        <v>12.8</v>
      </c>
      <c r="AL10">
        <v>9.9</v>
      </c>
      <c r="AM10">
        <v>1385.8</v>
      </c>
      <c r="AN10">
        <v>833.8</v>
      </c>
      <c r="AO10">
        <v>5.6</v>
      </c>
      <c r="AP10">
        <v>5.6</v>
      </c>
      <c r="AQ10">
        <v>0</v>
      </c>
      <c r="AR10">
        <v>9.9</v>
      </c>
      <c r="AS10">
        <v>5.8</v>
      </c>
      <c r="AT10">
        <v>1.3</v>
      </c>
      <c r="AU10">
        <v>15</v>
      </c>
      <c r="AV10">
        <v>22</v>
      </c>
      <c r="AW10">
        <v>25</v>
      </c>
      <c r="AX10">
        <v>480</v>
      </c>
    </row>
    <row r="11" spans="1:50">
      <c r="A11">
        <v>195</v>
      </c>
      <c r="B11">
        <v>1</v>
      </c>
      <c r="C11">
        <v>0</v>
      </c>
      <c r="D11">
        <v>22.2</v>
      </c>
      <c r="E11">
        <v>22.3</v>
      </c>
      <c r="F11">
        <v>22.4</v>
      </c>
      <c r="G11">
        <v>22.3</v>
      </c>
      <c r="H11">
        <v>22.2</v>
      </c>
      <c r="I11">
        <v>22.2</v>
      </c>
      <c r="J11">
        <v>22.3</v>
      </c>
      <c r="K11">
        <v>22.4</v>
      </c>
      <c r="L11">
        <v>21.5</v>
      </c>
      <c r="M11">
        <v>22.1</v>
      </c>
      <c r="N11">
        <v>22</v>
      </c>
      <c r="O11">
        <v>34.9</v>
      </c>
      <c r="P11">
        <v>35.4</v>
      </c>
      <c r="Q11">
        <v>32.799999999999997</v>
      </c>
      <c r="R11">
        <v>32.799999999999997</v>
      </c>
      <c r="S11">
        <v>14.6</v>
      </c>
      <c r="T11">
        <v>0</v>
      </c>
      <c r="U11">
        <v>32.9</v>
      </c>
      <c r="V11">
        <v>33.4</v>
      </c>
      <c r="W11">
        <v>31.7</v>
      </c>
      <c r="X11">
        <v>23.2</v>
      </c>
      <c r="Y11">
        <v>23.3</v>
      </c>
      <c r="Z11">
        <v>22.2</v>
      </c>
      <c r="AA11">
        <v>22.3</v>
      </c>
      <c r="AB11">
        <v>22.2</v>
      </c>
      <c r="AC11">
        <v>22.3</v>
      </c>
      <c r="AD11">
        <v>22.1</v>
      </c>
      <c r="AE11">
        <v>32.799999999999997</v>
      </c>
      <c r="AF11">
        <v>23.3</v>
      </c>
      <c r="AG11">
        <v>33.1</v>
      </c>
      <c r="AH11">
        <v>35.1</v>
      </c>
      <c r="AI11">
        <v>0.6</v>
      </c>
      <c r="AJ11">
        <v>1.4</v>
      </c>
      <c r="AK11">
        <v>12.8</v>
      </c>
      <c r="AL11">
        <v>9.9</v>
      </c>
      <c r="AM11">
        <v>1385.8</v>
      </c>
      <c r="AN11">
        <v>833.8</v>
      </c>
      <c r="AO11">
        <v>5.6</v>
      </c>
      <c r="AP11">
        <v>5.6</v>
      </c>
      <c r="AQ11">
        <v>0</v>
      </c>
      <c r="AR11">
        <v>9.9</v>
      </c>
      <c r="AS11">
        <v>5.8</v>
      </c>
      <c r="AT11">
        <v>1.3</v>
      </c>
      <c r="AU11">
        <v>15</v>
      </c>
      <c r="AV11">
        <v>23</v>
      </c>
      <c r="AW11">
        <v>25</v>
      </c>
      <c r="AX11">
        <v>480</v>
      </c>
    </row>
    <row r="12" spans="1:50">
      <c r="A12">
        <v>255</v>
      </c>
      <c r="B12">
        <v>1</v>
      </c>
      <c r="C12">
        <v>0</v>
      </c>
      <c r="D12">
        <v>23</v>
      </c>
      <c r="E12">
        <v>23.1</v>
      </c>
      <c r="F12">
        <v>23.2</v>
      </c>
      <c r="G12">
        <v>23.1</v>
      </c>
      <c r="H12">
        <v>23</v>
      </c>
      <c r="I12">
        <v>23</v>
      </c>
      <c r="J12">
        <v>23.1</v>
      </c>
      <c r="K12">
        <v>23.2</v>
      </c>
      <c r="L12">
        <v>21.9</v>
      </c>
      <c r="M12">
        <v>22.3</v>
      </c>
      <c r="N12">
        <v>22.3</v>
      </c>
      <c r="O12">
        <v>34.6</v>
      </c>
      <c r="P12">
        <v>35.5</v>
      </c>
      <c r="Q12">
        <v>32.4</v>
      </c>
      <c r="R12">
        <v>32.5</v>
      </c>
      <c r="S12">
        <v>13.4</v>
      </c>
      <c r="T12">
        <v>0</v>
      </c>
      <c r="U12">
        <v>32.799999999999997</v>
      </c>
      <c r="V12">
        <v>33.200000000000003</v>
      </c>
      <c r="W12">
        <v>31.7</v>
      </c>
      <c r="X12">
        <v>23.2</v>
      </c>
      <c r="Y12">
        <v>23.3</v>
      </c>
      <c r="Z12">
        <v>23</v>
      </c>
      <c r="AA12">
        <v>23.1</v>
      </c>
      <c r="AB12">
        <v>23</v>
      </c>
      <c r="AC12">
        <v>23.1</v>
      </c>
      <c r="AD12">
        <v>22.3</v>
      </c>
      <c r="AE12">
        <v>32.5</v>
      </c>
      <c r="AF12">
        <v>23.3</v>
      </c>
      <c r="AG12">
        <v>33</v>
      </c>
      <c r="AH12">
        <v>35</v>
      </c>
      <c r="AI12">
        <v>0.4</v>
      </c>
      <c r="AJ12">
        <v>1.3</v>
      </c>
      <c r="AK12">
        <v>12.7</v>
      </c>
      <c r="AL12">
        <v>9.6999999999999993</v>
      </c>
      <c r="AM12">
        <v>1390.1</v>
      </c>
      <c r="AN12">
        <v>884.1</v>
      </c>
      <c r="AO12">
        <v>5.6</v>
      </c>
      <c r="AP12">
        <v>5.6</v>
      </c>
      <c r="AQ12">
        <v>0</v>
      </c>
      <c r="AR12">
        <v>9.9</v>
      </c>
      <c r="AS12">
        <v>5.8</v>
      </c>
      <c r="AT12">
        <v>1.4</v>
      </c>
      <c r="AU12">
        <v>15</v>
      </c>
      <c r="AV12">
        <v>23</v>
      </c>
      <c r="AW12">
        <v>33</v>
      </c>
      <c r="AX12">
        <v>560</v>
      </c>
    </row>
    <row r="13" spans="1:50">
      <c r="A13">
        <v>255</v>
      </c>
      <c r="B13">
        <v>1</v>
      </c>
      <c r="C13">
        <v>0</v>
      </c>
      <c r="D13">
        <v>23</v>
      </c>
      <c r="E13">
        <v>23.1</v>
      </c>
      <c r="F13">
        <v>23.2</v>
      </c>
      <c r="G13">
        <v>23.1</v>
      </c>
      <c r="H13">
        <v>23</v>
      </c>
      <c r="I13">
        <v>23</v>
      </c>
      <c r="J13">
        <v>23.1</v>
      </c>
      <c r="K13">
        <v>23.2</v>
      </c>
      <c r="L13">
        <v>21.9</v>
      </c>
      <c r="M13">
        <v>22.3</v>
      </c>
      <c r="N13">
        <v>22.3</v>
      </c>
      <c r="O13">
        <v>34.6</v>
      </c>
      <c r="P13">
        <v>35.5</v>
      </c>
      <c r="Q13">
        <v>32.4</v>
      </c>
      <c r="R13">
        <v>32.5</v>
      </c>
      <c r="S13">
        <v>13.4</v>
      </c>
      <c r="T13">
        <v>0</v>
      </c>
      <c r="U13">
        <v>32.799999999999997</v>
      </c>
      <c r="V13">
        <v>33.200000000000003</v>
      </c>
      <c r="W13">
        <v>31.7</v>
      </c>
      <c r="X13">
        <v>23.2</v>
      </c>
      <c r="Y13">
        <v>23.3</v>
      </c>
      <c r="Z13">
        <v>23</v>
      </c>
      <c r="AA13">
        <v>23.1</v>
      </c>
      <c r="AB13">
        <v>23</v>
      </c>
      <c r="AC13">
        <v>23.1</v>
      </c>
      <c r="AD13">
        <v>22.3</v>
      </c>
      <c r="AE13">
        <v>32.5</v>
      </c>
      <c r="AF13">
        <v>23.3</v>
      </c>
      <c r="AG13">
        <v>33</v>
      </c>
      <c r="AH13">
        <v>35</v>
      </c>
      <c r="AI13">
        <v>0.4</v>
      </c>
      <c r="AJ13">
        <v>1.3</v>
      </c>
      <c r="AK13">
        <v>12.7</v>
      </c>
      <c r="AL13">
        <v>9.6999999999999993</v>
      </c>
      <c r="AM13">
        <v>1390.1</v>
      </c>
      <c r="AN13">
        <v>884.1</v>
      </c>
      <c r="AO13">
        <v>5.6</v>
      </c>
      <c r="AP13">
        <v>5.6</v>
      </c>
      <c r="AQ13">
        <v>0</v>
      </c>
      <c r="AR13">
        <v>9.9</v>
      </c>
      <c r="AS13">
        <v>5.8</v>
      </c>
      <c r="AT13">
        <v>1.4</v>
      </c>
      <c r="AU13">
        <v>15</v>
      </c>
      <c r="AV13">
        <v>23</v>
      </c>
      <c r="AW13">
        <v>33</v>
      </c>
      <c r="AX13">
        <v>560</v>
      </c>
    </row>
    <row r="14" spans="1:50">
      <c r="A14">
        <v>255</v>
      </c>
      <c r="B14">
        <v>1</v>
      </c>
      <c r="C14">
        <v>0</v>
      </c>
      <c r="D14">
        <v>23</v>
      </c>
      <c r="E14">
        <v>23.1</v>
      </c>
      <c r="F14">
        <v>23.2</v>
      </c>
      <c r="G14">
        <v>23.1</v>
      </c>
      <c r="H14">
        <v>23</v>
      </c>
      <c r="I14">
        <v>23</v>
      </c>
      <c r="J14">
        <v>23.1</v>
      </c>
      <c r="K14">
        <v>23.2</v>
      </c>
      <c r="L14">
        <v>21.9</v>
      </c>
      <c r="M14">
        <v>22.3</v>
      </c>
      <c r="N14">
        <v>22.3</v>
      </c>
      <c r="O14">
        <v>34.6</v>
      </c>
      <c r="P14">
        <v>35.5</v>
      </c>
      <c r="Q14">
        <v>32.4</v>
      </c>
      <c r="R14">
        <v>32.5</v>
      </c>
      <c r="S14">
        <v>13.4</v>
      </c>
      <c r="T14">
        <v>0</v>
      </c>
      <c r="U14">
        <v>32.799999999999997</v>
      </c>
      <c r="V14">
        <v>33.200000000000003</v>
      </c>
      <c r="W14">
        <v>31.7</v>
      </c>
      <c r="X14">
        <v>23.2</v>
      </c>
      <c r="Y14">
        <v>23.3</v>
      </c>
      <c r="Z14">
        <v>23</v>
      </c>
      <c r="AA14">
        <v>23.1</v>
      </c>
      <c r="AB14">
        <v>23</v>
      </c>
      <c r="AC14">
        <v>23.1</v>
      </c>
      <c r="AD14">
        <v>22.3</v>
      </c>
      <c r="AE14">
        <v>32.5</v>
      </c>
      <c r="AF14">
        <v>23.3</v>
      </c>
      <c r="AG14">
        <v>33</v>
      </c>
      <c r="AH14">
        <v>35</v>
      </c>
      <c r="AI14">
        <v>2.2999999999999998</v>
      </c>
      <c r="AJ14">
        <v>1.3</v>
      </c>
      <c r="AK14">
        <v>12.7</v>
      </c>
      <c r="AL14">
        <v>9.6999999999999993</v>
      </c>
      <c r="AM14">
        <v>1390.1</v>
      </c>
      <c r="AN14">
        <v>884.1</v>
      </c>
      <c r="AO14">
        <v>5.6</v>
      </c>
      <c r="AP14">
        <v>5.6</v>
      </c>
      <c r="AQ14">
        <v>0</v>
      </c>
      <c r="AR14">
        <v>9.9</v>
      </c>
      <c r="AS14">
        <v>5.8</v>
      </c>
      <c r="AT14">
        <v>1.4</v>
      </c>
      <c r="AU14">
        <v>15</v>
      </c>
      <c r="AV14">
        <v>23</v>
      </c>
      <c r="AW14">
        <v>15</v>
      </c>
      <c r="AX14">
        <v>560</v>
      </c>
    </row>
    <row r="15" spans="1:50">
      <c r="A15">
        <v>315</v>
      </c>
      <c r="B15">
        <v>1</v>
      </c>
      <c r="C15">
        <v>0</v>
      </c>
      <c r="D15">
        <v>23.4</v>
      </c>
      <c r="E15">
        <v>23.4</v>
      </c>
      <c r="F15">
        <v>23.6</v>
      </c>
      <c r="G15">
        <v>23.6</v>
      </c>
      <c r="H15">
        <v>23.4</v>
      </c>
      <c r="I15">
        <v>23.4</v>
      </c>
      <c r="J15">
        <v>23.5</v>
      </c>
      <c r="K15">
        <v>23.6</v>
      </c>
      <c r="L15">
        <v>22.4</v>
      </c>
      <c r="M15">
        <v>22</v>
      </c>
      <c r="N15">
        <v>22</v>
      </c>
      <c r="O15">
        <v>34.700000000000003</v>
      </c>
      <c r="P15">
        <v>35.4</v>
      </c>
      <c r="Q15">
        <v>32.6</v>
      </c>
      <c r="R15">
        <v>32.700000000000003</v>
      </c>
      <c r="S15">
        <v>16.600000000000001</v>
      </c>
      <c r="T15">
        <v>0</v>
      </c>
      <c r="U15">
        <v>33.1</v>
      </c>
      <c r="V15">
        <v>33.5</v>
      </c>
      <c r="W15">
        <v>32</v>
      </c>
      <c r="X15">
        <v>23.4</v>
      </c>
      <c r="Y15">
        <v>23.5</v>
      </c>
      <c r="Z15">
        <v>23.4</v>
      </c>
      <c r="AA15">
        <v>23.6</v>
      </c>
      <c r="AB15">
        <v>23.4</v>
      </c>
      <c r="AC15">
        <v>23.5</v>
      </c>
      <c r="AD15">
        <v>22.1</v>
      </c>
      <c r="AE15">
        <v>32.700000000000003</v>
      </c>
      <c r="AF15">
        <v>23.4</v>
      </c>
      <c r="AG15">
        <v>33.299999999999997</v>
      </c>
      <c r="AH15">
        <v>35.1</v>
      </c>
      <c r="AI15">
        <v>0.3</v>
      </c>
      <c r="AJ15">
        <v>1.3</v>
      </c>
      <c r="AK15">
        <v>12.7</v>
      </c>
      <c r="AL15">
        <v>9.8000000000000007</v>
      </c>
      <c r="AM15">
        <v>1229.0999999999999</v>
      </c>
      <c r="AN15">
        <v>731.7</v>
      </c>
      <c r="AO15">
        <v>5.6</v>
      </c>
      <c r="AP15">
        <v>5.6</v>
      </c>
      <c r="AQ15">
        <v>0</v>
      </c>
      <c r="AR15">
        <v>9.9</v>
      </c>
      <c r="AS15">
        <v>5.7</v>
      </c>
      <c r="AT15">
        <v>1.6</v>
      </c>
      <c r="AU15">
        <v>15</v>
      </c>
      <c r="AV15">
        <v>23</v>
      </c>
      <c r="AW15">
        <v>15</v>
      </c>
      <c r="AX15">
        <v>380</v>
      </c>
    </row>
    <row r="16" spans="1:50">
      <c r="A16">
        <v>315</v>
      </c>
      <c r="B16">
        <v>1</v>
      </c>
      <c r="C16">
        <v>0</v>
      </c>
      <c r="D16">
        <v>23.4</v>
      </c>
      <c r="E16">
        <v>23.4</v>
      </c>
      <c r="F16">
        <v>23.6</v>
      </c>
      <c r="G16">
        <v>23.6</v>
      </c>
      <c r="H16">
        <v>23.4</v>
      </c>
      <c r="I16">
        <v>23.4</v>
      </c>
      <c r="J16">
        <v>23.5</v>
      </c>
      <c r="K16">
        <v>23.6</v>
      </c>
      <c r="L16">
        <v>22.4</v>
      </c>
      <c r="M16">
        <v>22.2</v>
      </c>
      <c r="N16">
        <v>22.1</v>
      </c>
      <c r="O16">
        <v>34.799999999999997</v>
      </c>
      <c r="P16">
        <v>35.299999999999997</v>
      </c>
      <c r="Q16">
        <v>32.6</v>
      </c>
      <c r="R16">
        <v>32.799999999999997</v>
      </c>
      <c r="S16">
        <v>16.600000000000001</v>
      </c>
      <c r="T16">
        <v>0</v>
      </c>
      <c r="U16">
        <v>33.1</v>
      </c>
      <c r="V16">
        <v>33.4</v>
      </c>
      <c r="W16">
        <v>31.9</v>
      </c>
      <c r="X16">
        <v>23.4</v>
      </c>
      <c r="Y16">
        <v>23.5</v>
      </c>
      <c r="Z16">
        <v>23.4</v>
      </c>
      <c r="AA16">
        <v>23.6</v>
      </c>
      <c r="AB16">
        <v>23.4</v>
      </c>
      <c r="AC16">
        <v>23.5</v>
      </c>
      <c r="AD16">
        <v>22.1</v>
      </c>
      <c r="AE16">
        <v>32.700000000000003</v>
      </c>
      <c r="AF16">
        <v>23.4</v>
      </c>
      <c r="AG16">
        <v>33.299999999999997</v>
      </c>
      <c r="AH16">
        <v>35.1</v>
      </c>
      <c r="AI16">
        <v>0.3</v>
      </c>
      <c r="AJ16">
        <v>1.3</v>
      </c>
      <c r="AK16">
        <v>12.7</v>
      </c>
      <c r="AL16">
        <v>9.8000000000000007</v>
      </c>
      <c r="AM16">
        <v>1229.0999999999999</v>
      </c>
      <c r="AN16">
        <v>731.7</v>
      </c>
      <c r="AO16">
        <v>5.6</v>
      </c>
      <c r="AP16">
        <v>5.6</v>
      </c>
      <c r="AQ16">
        <v>0</v>
      </c>
      <c r="AR16">
        <v>9.9</v>
      </c>
      <c r="AS16">
        <v>5.7</v>
      </c>
      <c r="AT16">
        <v>1.6</v>
      </c>
      <c r="AU16">
        <v>15</v>
      </c>
      <c r="AV16">
        <v>23</v>
      </c>
      <c r="AW16">
        <v>15</v>
      </c>
      <c r="AX16">
        <v>380</v>
      </c>
    </row>
    <row r="17" spans="1:50">
      <c r="A17">
        <v>315</v>
      </c>
      <c r="B17">
        <v>1</v>
      </c>
      <c r="C17">
        <v>0</v>
      </c>
      <c r="D17">
        <v>23.4</v>
      </c>
      <c r="E17">
        <v>23.4</v>
      </c>
      <c r="F17">
        <v>23.6</v>
      </c>
      <c r="G17">
        <v>23.6</v>
      </c>
      <c r="H17">
        <v>23.4</v>
      </c>
      <c r="I17">
        <v>23.4</v>
      </c>
      <c r="J17">
        <v>23.5</v>
      </c>
      <c r="K17">
        <v>23.6</v>
      </c>
      <c r="L17">
        <v>22.4</v>
      </c>
      <c r="M17">
        <v>22.2</v>
      </c>
      <c r="N17">
        <v>22.1</v>
      </c>
      <c r="O17">
        <v>34.799999999999997</v>
      </c>
      <c r="P17">
        <v>35.299999999999997</v>
      </c>
      <c r="Q17">
        <v>32.6</v>
      </c>
      <c r="R17">
        <v>32.799999999999997</v>
      </c>
      <c r="S17">
        <v>16.600000000000001</v>
      </c>
      <c r="T17">
        <v>0</v>
      </c>
      <c r="U17">
        <v>33.1</v>
      </c>
      <c r="V17">
        <v>33.4</v>
      </c>
      <c r="W17">
        <v>31.9</v>
      </c>
      <c r="X17">
        <v>23.4</v>
      </c>
      <c r="Y17">
        <v>23.5</v>
      </c>
      <c r="Z17">
        <v>23.4</v>
      </c>
      <c r="AA17">
        <v>23.6</v>
      </c>
      <c r="AB17">
        <v>23.4</v>
      </c>
      <c r="AC17">
        <v>23.5</v>
      </c>
      <c r="AD17">
        <v>22.1</v>
      </c>
      <c r="AE17">
        <v>32.700000000000003</v>
      </c>
      <c r="AF17">
        <v>23.4</v>
      </c>
      <c r="AG17">
        <v>33.299999999999997</v>
      </c>
      <c r="AH17">
        <v>35.1</v>
      </c>
      <c r="AI17">
        <v>0.3</v>
      </c>
      <c r="AJ17">
        <v>1.3</v>
      </c>
      <c r="AK17">
        <v>12.7</v>
      </c>
      <c r="AL17">
        <v>9.8000000000000007</v>
      </c>
      <c r="AM17">
        <v>1229.0999999999999</v>
      </c>
      <c r="AN17">
        <v>731.7</v>
      </c>
      <c r="AO17">
        <v>5.6</v>
      </c>
      <c r="AP17">
        <v>5.6</v>
      </c>
      <c r="AQ17">
        <v>0</v>
      </c>
      <c r="AR17">
        <v>9.9</v>
      </c>
      <c r="AS17">
        <v>5.7</v>
      </c>
      <c r="AT17">
        <v>1.6</v>
      </c>
      <c r="AU17">
        <v>15</v>
      </c>
      <c r="AV17">
        <v>24</v>
      </c>
      <c r="AW17">
        <v>15</v>
      </c>
      <c r="AX17">
        <v>380</v>
      </c>
    </row>
    <row r="18" spans="1:50">
      <c r="A18">
        <v>375</v>
      </c>
      <c r="B18">
        <v>1</v>
      </c>
      <c r="C18">
        <v>0</v>
      </c>
      <c r="D18">
        <v>23.8</v>
      </c>
      <c r="E18">
        <v>23.8</v>
      </c>
      <c r="F18">
        <v>23.9</v>
      </c>
      <c r="G18">
        <v>23.9</v>
      </c>
      <c r="H18">
        <v>23.8</v>
      </c>
      <c r="I18">
        <v>23.8</v>
      </c>
      <c r="J18">
        <v>23.8</v>
      </c>
      <c r="K18">
        <v>23.9</v>
      </c>
      <c r="L18">
        <v>22.7</v>
      </c>
      <c r="M18">
        <v>22.2</v>
      </c>
      <c r="N18">
        <v>22.2</v>
      </c>
      <c r="O18">
        <v>35</v>
      </c>
      <c r="P18">
        <v>35.700000000000003</v>
      </c>
      <c r="Q18">
        <v>32.799999999999997</v>
      </c>
      <c r="R18">
        <v>32.9</v>
      </c>
      <c r="S18">
        <v>15.8</v>
      </c>
      <c r="T18">
        <v>0</v>
      </c>
      <c r="U18">
        <v>33.1</v>
      </c>
      <c r="V18">
        <v>33.5</v>
      </c>
      <c r="W18">
        <v>31.9</v>
      </c>
      <c r="X18">
        <v>23.4</v>
      </c>
      <c r="Y18">
        <v>23.4</v>
      </c>
      <c r="Z18">
        <v>23.8</v>
      </c>
      <c r="AA18">
        <v>23.9</v>
      </c>
      <c r="AB18">
        <v>23.8</v>
      </c>
      <c r="AC18">
        <v>23.9</v>
      </c>
      <c r="AD18">
        <v>22.2</v>
      </c>
      <c r="AE18">
        <v>32.799999999999997</v>
      </c>
      <c r="AF18">
        <v>23.4</v>
      </c>
      <c r="AG18">
        <v>33.299999999999997</v>
      </c>
      <c r="AH18">
        <v>35.299999999999997</v>
      </c>
      <c r="AI18">
        <v>0.1</v>
      </c>
      <c r="AJ18">
        <v>1.3</v>
      </c>
      <c r="AK18">
        <v>12.8</v>
      </c>
      <c r="AL18">
        <v>9.9</v>
      </c>
      <c r="AM18">
        <v>1332.6</v>
      </c>
      <c r="AN18">
        <v>776.3</v>
      </c>
      <c r="AO18">
        <v>5.6</v>
      </c>
      <c r="AP18">
        <v>5.6</v>
      </c>
      <c r="AQ18">
        <v>0</v>
      </c>
      <c r="AR18">
        <v>9.9</v>
      </c>
      <c r="AS18">
        <v>5.6</v>
      </c>
      <c r="AT18">
        <v>1.5</v>
      </c>
      <c r="AU18">
        <v>15</v>
      </c>
      <c r="AV18">
        <v>24</v>
      </c>
      <c r="AW18">
        <v>20</v>
      </c>
      <c r="AX18">
        <v>430</v>
      </c>
    </row>
    <row r="19" spans="1:50">
      <c r="A19">
        <v>375</v>
      </c>
      <c r="B19">
        <v>1</v>
      </c>
      <c r="C19">
        <v>0</v>
      </c>
      <c r="D19">
        <v>23.8</v>
      </c>
      <c r="E19">
        <v>23.8</v>
      </c>
      <c r="F19">
        <v>23.9</v>
      </c>
      <c r="G19">
        <v>23.9</v>
      </c>
      <c r="H19">
        <v>23.8</v>
      </c>
      <c r="I19">
        <v>23.8</v>
      </c>
      <c r="J19">
        <v>23.8</v>
      </c>
      <c r="K19">
        <v>23.9</v>
      </c>
      <c r="L19">
        <v>22.7</v>
      </c>
      <c r="M19">
        <v>22.2</v>
      </c>
      <c r="N19">
        <v>22.2</v>
      </c>
      <c r="O19">
        <v>35</v>
      </c>
      <c r="P19">
        <v>35.700000000000003</v>
      </c>
      <c r="Q19">
        <v>32.799999999999997</v>
      </c>
      <c r="R19">
        <v>32.9</v>
      </c>
      <c r="S19">
        <v>15.8</v>
      </c>
      <c r="T19">
        <v>0</v>
      </c>
      <c r="U19">
        <v>33.1</v>
      </c>
      <c r="V19">
        <v>33.5</v>
      </c>
      <c r="W19">
        <v>31.9</v>
      </c>
      <c r="X19">
        <v>23.4</v>
      </c>
      <c r="Y19">
        <v>23.4</v>
      </c>
      <c r="Z19">
        <v>23.8</v>
      </c>
      <c r="AA19">
        <v>23.9</v>
      </c>
      <c r="AB19">
        <v>23.8</v>
      </c>
      <c r="AC19">
        <v>23.9</v>
      </c>
      <c r="AD19">
        <v>22.2</v>
      </c>
      <c r="AE19">
        <v>32.799999999999997</v>
      </c>
      <c r="AF19">
        <v>23.4</v>
      </c>
      <c r="AG19">
        <v>33.299999999999997</v>
      </c>
      <c r="AH19">
        <v>35.299999999999997</v>
      </c>
      <c r="AI19">
        <v>0.1</v>
      </c>
      <c r="AJ19">
        <v>1.3</v>
      </c>
      <c r="AK19">
        <v>12.8</v>
      </c>
      <c r="AL19">
        <v>9.9</v>
      </c>
      <c r="AM19">
        <v>1332.6</v>
      </c>
      <c r="AN19">
        <v>776.3</v>
      </c>
      <c r="AO19">
        <v>5.6</v>
      </c>
      <c r="AP19">
        <v>5.6</v>
      </c>
      <c r="AQ19">
        <v>0</v>
      </c>
      <c r="AR19">
        <v>9.9</v>
      </c>
      <c r="AS19">
        <v>5.6</v>
      </c>
      <c r="AT19">
        <v>1.5</v>
      </c>
      <c r="AU19">
        <v>15</v>
      </c>
      <c r="AV19">
        <v>24</v>
      </c>
      <c r="AW19">
        <v>20</v>
      </c>
      <c r="AX19">
        <v>430</v>
      </c>
    </row>
    <row r="20" spans="1:50">
      <c r="A20">
        <v>375</v>
      </c>
      <c r="B20">
        <v>1</v>
      </c>
      <c r="C20">
        <v>0</v>
      </c>
      <c r="D20">
        <v>23.8</v>
      </c>
      <c r="E20">
        <v>23.8</v>
      </c>
      <c r="F20">
        <v>23.9</v>
      </c>
      <c r="G20">
        <v>23.9</v>
      </c>
      <c r="H20">
        <v>23.8</v>
      </c>
      <c r="I20">
        <v>23.8</v>
      </c>
      <c r="J20">
        <v>23.8</v>
      </c>
      <c r="K20">
        <v>23.9</v>
      </c>
      <c r="L20">
        <v>22.7</v>
      </c>
      <c r="M20">
        <v>22.2</v>
      </c>
      <c r="N20">
        <v>22.2</v>
      </c>
      <c r="O20">
        <v>35</v>
      </c>
      <c r="P20">
        <v>35.700000000000003</v>
      </c>
      <c r="Q20">
        <v>32.799999999999997</v>
      </c>
      <c r="R20">
        <v>32.9</v>
      </c>
      <c r="S20">
        <v>15.8</v>
      </c>
      <c r="T20">
        <v>0</v>
      </c>
      <c r="U20">
        <v>33.1</v>
      </c>
      <c r="V20">
        <v>33.5</v>
      </c>
      <c r="W20">
        <v>31.9</v>
      </c>
      <c r="X20">
        <v>23.4</v>
      </c>
      <c r="Y20">
        <v>23.4</v>
      </c>
      <c r="Z20">
        <v>23.8</v>
      </c>
      <c r="AA20">
        <v>23.9</v>
      </c>
      <c r="AB20">
        <v>23.8</v>
      </c>
      <c r="AC20">
        <v>23.9</v>
      </c>
      <c r="AD20">
        <v>22.2</v>
      </c>
      <c r="AE20">
        <v>32.799999999999997</v>
      </c>
      <c r="AF20">
        <v>23.4</v>
      </c>
      <c r="AG20">
        <v>33.299999999999997</v>
      </c>
      <c r="AH20">
        <v>35.299999999999997</v>
      </c>
      <c r="AI20">
        <v>0.1</v>
      </c>
      <c r="AJ20">
        <v>1.3</v>
      </c>
      <c r="AK20">
        <v>12.8</v>
      </c>
      <c r="AL20">
        <v>9.9</v>
      </c>
      <c r="AM20">
        <v>1332.6</v>
      </c>
      <c r="AN20">
        <v>776.3</v>
      </c>
      <c r="AO20">
        <v>5.6</v>
      </c>
      <c r="AP20">
        <v>5.6</v>
      </c>
      <c r="AQ20">
        <v>0</v>
      </c>
      <c r="AR20">
        <v>9.9</v>
      </c>
      <c r="AS20">
        <v>5.6</v>
      </c>
      <c r="AT20">
        <v>1.5</v>
      </c>
      <c r="AU20">
        <v>15</v>
      </c>
      <c r="AV20">
        <v>24</v>
      </c>
      <c r="AW20">
        <v>20</v>
      </c>
      <c r="AX20">
        <v>430</v>
      </c>
    </row>
    <row r="21" spans="1:50">
      <c r="A21">
        <v>435</v>
      </c>
      <c r="B21">
        <v>1</v>
      </c>
      <c r="C21">
        <v>0</v>
      </c>
      <c r="D21">
        <v>24.3</v>
      </c>
      <c r="E21">
        <v>24.3</v>
      </c>
      <c r="F21">
        <v>24.4</v>
      </c>
      <c r="G21">
        <v>24.4</v>
      </c>
      <c r="H21">
        <v>24.3</v>
      </c>
      <c r="I21">
        <v>24.3</v>
      </c>
      <c r="J21">
        <v>24.4</v>
      </c>
      <c r="K21">
        <v>24.4</v>
      </c>
      <c r="L21">
        <v>23.1</v>
      </c>
      <c r="M21">
        <v>22.3</v>
      </c>
      <c r="N21">
        <v>22.3</v>
      </c>
      <c r="O21">
        <v>34.700000000000003</v>
      </c>
      <c r="P21">
        <v>35.799999999999997</v>
      </c>
      <c r="Q21">
        <v>32.799999999999997</v>
      </c>
      <c r="R21">
        <v>32.799999999999997</v>
      </c>
      <c r="S21">
        <v>15</v>
      </c>
      <c r="T21">
        <v>0</v>
      </c>
      <c r="U21">
        <v>33.1</v>
      </c>
      <c r="V21">
        <v>33.5</v>
      </c>
      <c r="W21">
        <v>31.9</v>
      </c>
      <c r="X21">
        <v>23.4</v>
      </c>
      <c r="Y21">
        <v>23.4</v>
      </c>
      <c r="Z21">
        <v>24.3</v>
      </c>
      <c r="AA21">
        <v>24.4</v>
      </c>
      <c r="AB21">
        <v>24.3</v>
      </c>
      <c r="AC21">
        <v>24.4</v>
      </c>
      <c r="AD21">
        <v>22.3</v>
      </c>
      <c r="AE21">
        <v>32.799999999999997</v>
      </c>
      <c r="AF21">
        <v>23.4</v>
      </c>
      <c r="AG21">
        <v>33.299999999999997</v>
      </c>
      <c r="AH21">
        <v>35.200000000000003</v>
      </c>
      <c r="AI21">
        <v>0.3</v>
      </c>
      <c r="AJ21">
        <v>1.4</v>
      </c>
      <c r="AK21">
        <v>12.8</v>
      </c>
      <c r="AL21">
        <v>9.9</v>
      </c>
      <c r="AM21">
        <v>1371.4</v>
      </c>
      <c r="AN21">
        <v>820.8</v>
      </c>
      <c r="AO21">
        <v>5.6</v>
      </c>
      <c r="AP21">
        <v>5.6</v>
      </c>
      <c r="AQ21">
        <v>0</v>
      </c>
      <c r="AR21">
        <v>9.9</v>
      </c>
      <c r="AS21">
        <v>5.8</v>
      </c>
      <c r="AT21">
        <v>1.4</v>
      </c>
      <c r="AU21">
        <v>15</v>
      </c>
      <c r="AV21">
        <v>25</v>
      </c>
      <c r="AW21">
        <v>25</v>
      </c>
      <c r="AX21">
        <v>490</v>
      </c>
    </row>
    <row r="22" spans="1:50">
      <c r="A22">
        <v>435</v>
      </c>
      <c r="B22">
        <v>1</v>
      </c>
      <c r="C22">
        <v>0</v>
      </c>
      <c r="D22">
        <v>24.3</v>
      </c>
      <c r="E22">
        <v>24.3</v>
      </c>
      <c r="F22">
        <v>24.4</v>
      </c>
      <c r="G22">
        <v>24.4</v>
      </c>
      <c r="H22">
        <v>24.3</v>
      </c>
      <c r="I22">
        <v>24.3</v>
      </c>
      <c r="J22">
        <v>24.4</v>
      </c>
      <c r="K22">
        <v>24.4</v>
      </c>
      <c r="L22">
        <v>23.1</v>
      </c>
      <c r="M22">
        <v>22.3</v>
      </c>
      <c r="N22">
        <v>22.3</v>
      </c>
      <c r="O22">
        <v>34.700000000000003</v>
      </c>
      <c r="P22">
        <v>35.799999999999997</v>
      </c>
      <c r="Q22">
        <v>32.799999999999997</v>
      </c>
      <c r="R22">
        <v>32.799999999999997</v>
      </c>
      <c r="S22">
        <v>15</v>
      </c>
      <c r="T22">
        <v>0</v>
      </c>
      <c r="U22">
        <v>33.1</v>
      </c>
      <c r="V22">
        <v>33.5</v>
      </c>
      <c r="W22">
        <v>31.9</v>
      </c>
      <c r="X22">
        <v>23.4</v>
      </c>
      <c r="Y22">
        <v>23.4</v>
      </c>
      <c r="Z22">
        <v>24.3</v>
      </c>
      <c r="AA22">
        <v>24.4</v>
      </c>
      <c r="AB22">
        <v>24.3</v>
      </c>
      <c r="AC22">
        <v>24.4</v>
      </c>
      <c r="AD22">
        <v>22.3</v>
      </c>
      <c r="AE22">
        <v>32.799999999999997</v>
      </c>
      <c r="AF22">
        <v>23.4</v>
      </c>
      <c r="AG22">
        <v>33.299999999999997</v>
      </c>
      <c r="AH22">
        <v>35.200000000000003</v>
      </c>
      <c r="AI22">
        <v>0.3</v>
      </c>
      <c r="AJ22">
        <v>1.4</v>
      </c>
      <c r="AK22">
        <v>12.8</v>
      </c>
      <c r="AL22">
        <v>9.9</v>
      </c>
      <c r="AM22">
        <v>1371.4</v>
      </c>
      <c r="AN22">
        <v>820.8</v>
      </c>
      <c r="AO22">
        <v>5.6</v>
      </c>
      <c r="AP22">
        <v>5.6</v>
      </c>
      <c r="AQ22">
        <v>0</v>
      </c>
      <c r="AR22">
        <v>9.9</v>
      </c>
      <c r="AS22">
        <v>5.8</v>
      </c>
      <c r="AT22">
        <v>1.4</v>
      </c>
      <c r="AU22">
        <v>15</v>
      </c>
      <c r="AV22">
        <v>27</v>
      </c>
      <c r="AW22">
        <v>25</v>
      </c>
      <c r="AX22">
        <v>490</v>
      </c>
    </row>
    <row r="23" spans="1:50">
      <c r="A23">
        <v>435</v>
      </c>
      <c r="B23">
        <v>1</v>
      </c>
      <c r="C23">
        <v>0</v>
      </c>
      <c r="D23">
        <v>24.3</v>
      </c>
      <c r="E23">
        <v>24.3</v>
      </c>
      <c r="F23">
        <v>24.4</v>
      </c>
      <c r="G23">
        <v>24.4</v>
      </c>
      <c r="H23">
        <v>24.3</v>
      </c>
      <c r="I23">
        <v>24.3</v>
      </c>
      <c r="J23">
        <v>24.4</v>
      </c>
      <c r="K23">
        <v>24.4</v>
      </c>
      <c r="L23">
        <v>23.1</v>
      </c>
      <c r="M23">
        <v>22.3</v>
      </c>
      <c r="N23">
        <v>22.3</v>
      </c>
      <c r="O23">
        <v>34.700000000000003</v>
      </c>
      <c r="P23">
        <v>35.799999999999997</v>
      </c>
      <c r="Q23">
        <v>32.799999999999997</v>
      </c>
      <c r="R23">
        <v>32.799999999999997</v>
      </c>
      <c r="S23">
        <v>14.9</v>
      </c>
      <c r="T23">
        <v>0</v>
      </c>
      <c r="U23">
        <v>33.1</v>
      </c>
      <c r="V23">
        <v>33.5</v>
      </c>
      <c r="W23">
        <v>31.9</v>
      </c>
      <c r="X23">
        <v>23.4</v>
      </c>
      <c r="Y23">
        <v>23.4</v>
      </c>
      <c r="Z23">
        <v>24.3</v>
      </c>
      <c r="AA23">
        <v>24.4</v>
      </c>
      <c r="AB23">
        <v>24.3</v>
      </c>
      <c r="AC23">
        <v>24.4</v>
      </c>
      <c r="AD23">
        <v>22.3</v>
      </c>
      <c r="AE23">
        <v>32.799999999999997</v>
      </c>
      <c r="AF23">
        <v>23.4</v>
      </c>
      <c r="AG23">
        <v>33.299999999999997</v>
      </c>
      <c r="AH23">
        <v>35.200000000000003</v>
      </c>
      <c r="AI23">
        <v>0.3</v>
      </c>
      <c r="AJ23">
        <v>1.4</v>
      </c>
      <c r="AK23">
        <v>12.8</v>
      </c>
      <c r="AL23">
        <v>9.9</v>
      </c>
      <c r="AM23">
        <v>1371.4</v>
      </c>
      <c r="AN23">
        <v>820.8</v>
      </c>
      <c r="AO23">
        <v>5.6</v>
      </c>
      <c r="AP23">
        <v>5.6</v>
      </c>
      <c r="AQ23">
        <v>0</v>
      </c>
      <c r="AR23">
        <v>9.9</v>
      </c>
      <c r="AS23">
        <v>5.8</v>
      </c>
      <c r="AT23">
        <v>1.4</v>
      </c>
      <c r="AU23">
        <v>15</v>
      </c>
      <c r="AV23">
        <v>27</v>
      </c>
      <c r="AW23">
        <v>25</v>
      </c>
      <c r="AX23">
        <v>490</v>
      </c>
    </row>
    <row r="24" spans="1:50">
      <c r="A24">
        <v>495</v>
      </c>
      <c r="B24">
        <v>1</v>
      </c>
      <c r="C24">
        <v>0</v>
      </c>
      <c r="D24">
        <v>25</v>
      </c>
      <c r="E24">
        <v>25.1</v>
      </c>
      <c r="F24">
        <v>25.2</v>
      </c>
      <c r="G24">
        <v>25.1</v>
      </c>
      <c r="H24">
        <v>25</v>
      </c>
      <c r="I24">
        <v>25</v>
      </c>
      <c r="J24">
        <v>25.1</v>
      </c>
      <c r="K24">
        <v>25.2</v>
      </c>
      <c r="L24">
        <v>23.6</v>
      </c>
      <c r="M24">
        <v>22.3</v>
      </c>
      <c r="N24">
        <v>22.3</v>
      </c>
      <c r="O24">
        <v>35.299999999999997</v>
      </c>
      <c r="P24">
        <v>35.299999999999997</v>
      </c>
      <c r="Q24">
        <v>32.9</v>
      </c>
      <c r="R24">
        <v>32.799999999999997</v>
      </c>
      <c r="S24">
        <v>13.9</v>
      </c>
      <c r="T24">
        <v>0</v>
      </c>
      <c r="U24">
        <v>33.200000000000003</v>
      </c>
      <c r="V24">
        <v>33.6</v>
      </c>
      <c r="W24">
        <v>32</v>
      </c>
      <c r="X24">
        <v>23.4</v>
      </c>
      <c r="Y24">
        <v>23.4</v>
      </c>
      <c r="Z24">
        <v>25</v>
      </c>
      <c r="AA24">
        <v>25.1</v>
      </c>
      <c r="AB24">
        <v>25</v>
      </c>
      <c r="AC24">
        <v>25.1</v>
      </c>
      <c r="AD24">
        <v>22.3</v>
      </c>
      <c r="AE24">
        <v>32.799999999999997</v>
      </c>
      <c r="AF24">
        <v>23.4</v>
      </c>
      <c r="AG24">
        <v>33.4</v>
      </c>
      <c r="AH24">
        <v>35.299999999999997</v>
      </c>
      <c r="AI24">
        <v>0.2</v>
      </c>
      <c r="AJ24">
        <v>1.4</v>
      </c>
      <c r="AK24">
        <v>12.8</v>
      </c>
      <c r="AL24">
        <v>10</v>
      </c>
      <c r="AM24">
        <v>1380</v>
      </c>
      <c r="AN24">
        <v>852.4</v>
      </c>
      <c r="AO24">
        <v>5.6</v>
      </c>
      <c r="AP24">
        <v>5.6</v>
      </c>
      <c r="AQ24">
        <v>0</v>
      </c>
      <c r="AR24">
        <v>9.9</v>
      </c>
      <c r="AS24">
        <v>5.7</v>
      </c>
      <c r="AT24">
        <v>1.3</v>
      </c>
      <c r="AU24">
        <v>15</v>
      </c>
      <c r="AV24">
        <v>27</v>
      </c>
      <c r="AW24">
        <v>30</v>
      </c>
      <c r="AX24">
        <v>515</v>
      </c>
    </row>
    <row r="25" spans="1:50">
      <c r="A25">
        <v>495</v>
      </c>
      <c r="B25">
        <v>1</v>
      </c>
      <c r="C25">
        <v>0</v>
      </c>
      <c r="D25">
        <v>25</v>
      </c>
      <c r="E25">
        <v>25.1</v>
      </c>
      <c r="F25">
        <v>25.2</v>
      </c>
      <c r="G25">
        <v>25.1</v>
      </c>
      <c r="H25">
        <v>25</v>
      </c>
      <c r="I25">
        <v>25</v>
      </c>
      <c r="J25">
        <v>25.1</v>
      </c>
      <c r="K25">
        <v>25.2</v>
      </c>
      <c r="L25">
        <v>23.6</v>
      </c>
      <c r="M25">
        <v>22.3</v>
      </c>
      <c r="N25">
        <v>22.3</v>
      </c>
      <c r="O25">
        <v>35.299999999999997</v>
      </c>
      <c r="P25">
        <v>35.299999999999997</v>
      </c>
      <c r="Q25">
        <v>32.9</v>
      </c>
      <c r="R25">
        <v>32.799999999999997</v>
      </c>
      <c r="S25">
        <v>13.9</v>
      </c>
      <c r="T25">
        <v>0</v>
      </c>
      <c r="U25">
        <v>33.200000000000003</v>
      </c>
      <c r="V25">
        <v>33.6</v>
      </c>
      <c r="W25">
        <v>32</v>
      </c>
      <c r="X25">
        <v>23.4</v>
      </c>
      <c r="Y25">
        <v>23.4</v>
      </c>
      <c r="Z25">
        <v>25</v>
      </c>
      <c r="AA25">
        <v>25.1</v>
      </c>
      <c r="AB25">
        <v>25</v>
      </c>
      <c r="AC25">
        <v>25.1</v>
      </c>
      <c r="AD25">
        <v>22.3</v>
      </c>
      <c r="AE25">
        <v>32.799999999999997</v>
      </c>
      <c r="AF25">
        <v>23.4</v>
      </c>
      <c r="AG25">
        <v>33.4</v>
      </c>
      <c r="AH25">
        <v>35.299999999999997</v>
      </c>
      <c r="AI25">
        <v>0.2</v>
      </c>
      <c r="AJ25">
        <v>1.4</v>
      </c>
      <c r="AK25">
        <v>12.8</v>
      </c>
      <c r="AL25">
        <v>10</v>
      </c>
      <c r="AM25">
        <v>1380</v>
      </c>
      <c r="AN25">
        <v>855.3</v>
      </c>
      <c r="AO25">
        <v>5.6</v>
      </c>
      <c r="AP25">
        <v>5.6</v>
      </c>
      <c r="AQ25">
        <v>0</v>
      </c>
      <c r="AR25">
        <v>9.9</v>
      </c>
      <c r="AS25">
        <v>5.7</v>
      </c>
      <c r="AT25">
        <v>1.3</v>
      </c>
      <c r="AU25">
        <v>15</v>
      </c>
      <c r="AV25">
        <v>27</v>
      </c>
      <c r="AW25">
        <v>30</v>
      </c>
      <c r="AX25">
        <v>515</v>
      </c>
    </row>
    <row r="26" spans="1:50">
      <c r="A26">
        <v>495</v>
      </c>
      <c r="B26">
        <v>1</v>
      </c>
      <c r="C26">
        <v>0</v>
      </c>
      <c r="D26">
        <v>25</v>
      </c>
      <c r="E26">
        <v>25.1</v>
      </c>
      <c r="F26">
        <v>25.2</v>
      </c>
      <c r="G26">
        <v>25.1</v>
      </c>
      <c r="H26">
        <v>25</v>
      </c>
      <c r="I26">
        <v>25</v>
      </c>
      <c r="J26">
        <v>25.1</v>
      </c>
      <c r="K26">
        <v>25.2</v>
      </c>
      <c r="L26">
        <v>23.6</v>
      </c>
      <c r="M26">
        <v>22.2</v>
      </c>
      <c r="N26">
        <v>22.2</v>
      </c>
      <c r="O26">
        <v>34.700000000000003</v>
      </c>
      <c r="P26">
        <v>35.299999999999997</v>
      </c>
      <c r="Q26">
        <v>32.799999999999997</v>
      </c>
      <c r="R26">
        <v>32.9</v>
      </c>
      <c r="S26">
        <v>13.9</v>
      </c>
      <c r="T26">
        <v>0</v>
      </c>
      <c r="U26">
        <v>33.200000000000003</v>
      </c>
      <c r="V26">
        <v>33.6</v>
      </c>
      <c r="W26">
        <v>32</v>
      </c>
      <c r="X26">
        <v>23.4</v>
      </c>
      <c r="Y26">
        <v>23.5</v>
      </c>
      <c r="Z26">
        <v>25</v>
      </c>
      <c r="AA26">
        <v>25.1</v>
      </c>
      <c r="AB26">
        <v>25</v>
      </c>
      <c r="AC26">
        <v>25.1</v>
      </c>
      <c r="AD26">
        <v>22.2</v>
      </c>
      <c r="AE26">
        <v>32.799999999999997</v>
      </c>
      <c r="AF26">
        <v>23.5</v>
      </c>
      <c r="AG26">
        <v>33.4</v>
      </c>
      <c r="AH26">
        <v>35</v>
      </c>
      <c r="AI26">
        <v>0.2</v>
      </c>
      <c r="AJ26">
        <v>1.4</v>
      </c>
      <c r="AK26">
        <v>12.8</v>
      </c>
      <c r="AL26">
        <v>9.9</v>
      </c>
      <c r="AM26">
        <v>1380</v>
      </c>
      <c r="AN26">
        <v>855.3</v>
      </c>
      <c r="AO26">
        <v>5.6</v>
      </c>
      <c r="AP26">
        <v>5.6</v>
      </c>
      <c r="AQ26">
        <v>0</v>
      </c>
      <c r="AR26">
        <v>9.9</v>
      </c>
      <c r="AS26">
        <v>5.7</v>
      </c>
      <c r="AT26">
        <v>1.3</v>
      </c>
      <c r="AU26">
        <v>15</v>
      </c>
      <c r="AV26">
        <v>27</v>
      </c>
      <c r="AW26">
        <v>5</v>
      </c>
      <c r="AX26">
        <v>515</v>
      </c>
    </row>
    <row r="27" spans="1:50">
      <c r="A27">
        <v>525</v>
      </c>
      <c r="B27">
        <v>1</v>
      </c>
      <c r="C27">
        <v>0</v>
      </c>
      <c r="D27">
        <v>25.2</v>
      </c>
      <c r="E27">
        <v>25.2</v>
      </c>
      <c r="F27">
        <v>25.3</v>
      </c>
      <c r="G27">
        <v>25.3</v>
      </c>
      <c r="H27">
        <v>25.2</v>
      </c>
      <c r="I27">
        <v>25.2</v>
      </c>
      <c r="J27">
        <v>25.2</v>
      </c>
      <c r="K27">
        <v>25.3</v>
      </c>
      <c r="L27">
        <v>23.9</v>
      </c>
      <c r="M27">
        <v>22.4</v>
      </c>
      <c r="N27">
        <v>22.4</v>
      </c>
      <c r="O27">
        <v>30.6</v>
      </c>
      <c r="P27">
        <v>30.6</v>
      </c>
      <c r="Q27">
        <v>28.6</v>
      </c>
      <c r="R27">
        <v>28.7</v>
      </c>
      <c r="S27">
        <v>17.399999999999999</v>
      </c>
      <c r="T27">
        <v>0</v>
      </c>
      <c r="U27">
        <v>29.4</v>
      </c>
      <c r="V27">
        <v>29.8</v>
      </c>
      <c r="W27">
        <v>28.6</v>
      </c>
      <c r="X27">
        <v>23.2</v>
      </c>
      <c r="Y27">
        <v>23.3</v>
      </c>
      <c r="Z27">
        <v>25.2</v>
      </c>
      <c r="AA27">
        <v>25.3</v>
      </c>
      <c r="AB27">
        <v>25.2</v>
      </c>
      <c r="AC27">
        <v>25.3</v>
      </c>
      <c r="AD27">
        <v>22.4</v>
      </c>
      <c r="AE27">
        <v>28.6</v>
      </c>
      <c r="AF27">
        <v>23.2</v>
      </c>
      <c r="AG27">
        <v>29.6</v>
      </c>
      <c r="AH27">
        <v>30.6</v>
      </c>
      <c r="AI27">
        <v>0.1</v>
      </c>
      <c r="AJ27">
        <v>1</v>
      </c>
      <c r="AK27">
        <v>8.8000000000000007</v>
      </c>
      <c r="AL27">
        <v>6.4</v>
      </c>
      <c r="AM27">
        <v>1111.2</v>
      </c>
      <c r="AN27">
        <v>678.5</v>
      </c>
      <c r="AO27">
        <v>5.6</v>
      </c>
      <c r="AP27">
        <v>5.6</v>
      </c>
      <c r="AQ27">
        <v>0</v>
      </c>
      <c r="AR27">
        <v>9.9</v>
      </c>
      <c r="AS27">
        <v>5.7</v>
      </c>
      <c r="AT27">
        <v>1.4</v>
      </c>
      <c r="AU27">
        <v>15</v>
      </c>
      <c r="AV27">
        <v>27</v>
      </c>
      <c r="AW27">
        <v>5</v>
      </c>
      <c r="AX27">
        <v>160</v>
      </c>
    </row>
    <row r="28" spans="1:50">
      <c r="A28">
        <v>525</v>
      </c>
      <c r="B28">
        <v>1</v>
      </c>
      <c r="C28">
        <v>0</v>
      </c>
      <c r="D28">
        <v>25.2</v>
      </c>
      <c r="E28">
        <v>25.2</v>
      </c>
      <c r="F28">
        <v>25.3</v>
      </c>
      <c r="G28">
        <v>25.3</v>
      </c>
      <c r="H28">
        <v>25.2</v>
      </c>
      <c r="I28">
        <v>25.2</v>
      </c>
      <c r="J28">
        <v>25.2</v>
      </c>
      <c r="K28">
        <v>25.3</v>
      </c>
      <c r="L28">
        <v>23.9</v>
      </c>
      <c r="M28">
        <v>22.4</v>
      </c>
      <c r="N28">
        <v>22.4</v>
      </c>
      <c r="O28">
        <v>30.6</v>
      </c>
      <c r="P28">
        <v>30.6</v>
      </c>
      <c r="Q28">
        <v>28.6</v>
      </c>
      <c r="R28">
        <v>28.7</v>
      </c>
      <c r="S28">
        <v>17.399999999999999</v>
      </c>
      <c r="T28">
        <v>0</v>
      </c>
      <c r="U28">
        <v>29.4</v>
      </c>
      <c r="V28">
        <v>29.8</v>
      </c>
      <c r="W28">
        <v>28.6</v>
      </c>
      <c r="X28">
        <v>23.2</v>
      </c>
      <c r="Y28">
        <v>23.3</v>
      </c>
      <c r="Z28">
        <v>25.2</v>
      </c>
      <c r="AA28">
        <v>25.3</v>
      </c>
      <c r="AB28">
        <v>25.2</v>
      </c>
      <c r="AC28">
        <v>25.3</v>
      </c>
      <c r="AD28">
        <v>22.4</v>
      </c>
      <c r="AE28">
        <v>28.6</v>
      </c>
      <c r="AF28">
        <v>23.2</v>
      </c>
      <c r="AG28">
        <v>29.6</v>
      </c>
      <c r="AH28">
        <v>30.6</v>
      </c>
      <c r="AI28">
        <v>0.1</v>
      </c>
      <c r="AJ28">
        <v>1</v>
      </c>
      <c r="AK28">
        <v>8.8000000000000007</v>
      </c>
      <c r="AL28">
        <v>6.4</v>
      </c>
      <c r="AM28">
        <v>1111.2</v>
      </c>
      <c r="AN28">
        <v>678.5</v>
      </c>
      <c r="AO28">
        <v>5.6</v>
      </c>
      <c r="AP28">
        <v>5.6</v>
      </c>
      <c r="AQ28">
        <v>0</v>
      </c>
      <c r="AR28">
        <v>9.9</v>
      </c>
      <c r="AS28">
        <v>5.7</v>
      </c>
      <c r="AT28">
        <v>1.4</v>
      </c>
      <c r="AU28">
        <v>15</v>
      </c>
      <c r="AV28">
        <v>27</v>
      </c>
      <c r="AW28">
        <v>5</v>
      </c>
      <c r="AX28">
        <v>160</v>
      </c>
    </row>
    <row r="29" spans="1:50">
      <c r="A29">
        <v>525</v>
      </c>
      <c r="B29">
        <v>1</v>
      </c>
      <c r="C29">
        <v>0</v>
      </c>
      <c r="D29">
        <v>25.2</v>
      </c>
      <c r="E29">
        <v>25.2</v>
      </c>
      <c r="F29">
        <v>25.3</v>
      </c>
      <c r="G29">
        <v>25.3</v>
      </c>
      <c r="H29">
        <v>25.2</v>
      </c>
      <c r="I29">
        <v>25.2</v>
      </c>
      <c r="J29">
        <v>25.2</v>
      </c>
      <c r="K29">
        <v>25.3</v>
      </c>
      <c r="L29">
        <v>23.9</v>
      </c>
      <c r="M29">
        <v>22.4</v>
      </c>
      <c r="N29">
        <v>22.4</v>
      </c>
      <c r="O29">
        <v>30.6</v>
      </c>
      <c r="P29">
        <v>30.6</v>
      </c>
      <c r="Q29">
        <v>28.6</v>
      </c>
      <c r="R29">
        <v>28.7</v>
      </c>
      <c r="S29">
        <v>17.399999999999999</v>
      </c>
      <c r="T29">
        <v>0</v>
      </c>
      <c r="U29">
        <v>29.4</v>
      </c>
      <c r="V29">
        <v>29.8</v>
      </c>
      <c r="W29">
        <v>28.6</v>
      </c>
      <c r="X29">
        <v>23.2</v>
      </c>
      <c r="Y29">
        <v>23.3</v>
      </c>
      <c r="Z29">
        <v>25.2</v>
      </c>
      <c r="AA29">
        <v>25.3</v>
      </c>
      <c r="AB29">
        <v>25.2</v>
      </c>
      <c r="AC29">
        <v>25.3</v>
      </c>
      <c r="AD29">
        <v>22.4</v>
      </c>
      <c r="AE29">
        <v>28.6</v>
      </c>
      <c r="AF29">
        <v>23.2</v>
      </c>
      <c r="AG29">
        <v>29.6</v>
      </c>
      <c r="AH29">
        <v>30.6</v>
      </c>
      <c r="AI29">
        <v>0.1</v>
      </c>
      <c r="AJ29">
        <v>1</v>
      </c>
      <c r="AK29">
        <v>8.8000000000000007</v>
      </c>
      <c r="AL29">
        <v>6.4</v>
      </c>
      <c r="AM29">
        <v>1111.2</v>
      </c>
      <c r="AN29">
        <v>678.5</v>
      </c>
      <c r="AO29">
        <v>5.6</v>
      </c>
      <c r="AP29">
        <v>5.6</v>
      </c>
      <c r="AQ29">
        <v>0</v>
      </c>
      <c r="AR29">
        <v>9.9</v>
      </c>
      <c r="AS29">
        <v>5.7</v>
      </c>
      <c r="AT29">
        <v>1.4</v>
      </c>
      <c r="AU29">
        <v>15</v>
      </c>
      <c r="AV29">
        <v>27</v>
      </c>
      <c r="AW29">
        <v>0</v>
      </c>
      <c r="AX29">
        <v>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X29"/>
  <sheetViews>
    <sheetView topLeftCell="AB1" workbookViewId="0">
      <selection activeCell="AI36" sqref="AI36"/>
    </sheetView>
  </sheetViews>
  <sheetFormatPr defaultRowHeight="14.45"/>
  <sheetData>
    <row r="1" spans="1:50">
      <c r="A1" s="15" t="s">
        <v>19</v>
      </c>
      <c r="B1" s="15" t="s">
        <v>20</v>
      </c>
      <c r="C1" s="15" t="s">
        <v>21</v>
      </c>
      <c r="D1" s="15" t="s">
        <v>22</v>
      </c>
      <c r="E1" s="15" t="s">
        <v>23</v>
      </c>
      <c r="F1" s="15" t="s">
        <v>24</v>
      </c>
      <c r="G1" s="15" t="s">
        <v>25</v>
      </c>
      <c r="H1" s="15" t="s">
        <v>26</v>
      </c>
      <c r="I1" s="15" t="s">
        <v>27</v>
      </c>
      <c r="J1" s="15" t="s">
        <v>28</v>
      </c>
      <c r="K1" s="15" t="s">
        <v>29</v>
      </c>
      <c r="L1" s="15" t="s">
        <v>30</v>
      </c>
      <c r="M1" s="15" t="s">
        <v>31</v>
      </c>
      <c r="N1" s="15" t="s">
        <v>32</v>
      </c>
      <c r="O1" s="15" t="s">
        <v>33</v>
      </c>
      <c r="P1" s="15" t="s">
        <v>34</v>
      </c>
      <c r="Q1" s="15" t="s">
        <v>35</v>
      </c>
      <c r="R1" s="15" t="s">
        <v>36</v>
      </c>
      <c r="S1" s="15" t="s">
        <v>37</v>
      </c>
      <c r="T1" s="15" t="s">
        <v>38</v>
      </c>
      <c r="U1" s="15" t="s">
        <v>39</v>
      </c>
      <c r="V1" s="15" t="s">
        <v>40</v>
      </c>
      <c r="W1" s="15" t="s">
        <v>41</v>
      </c>
      <c r="X1" s="15" t="s">
        <v>42</v>
      </c>
      <c r="Y1" s="15" t="s">
        <v>43</v>
      </c>
      <c r="Z1" s="15" t="s">
        <v>44</v>
      </c>
      <c r="AA1" s="15" t="s">
        <v>45</v>
      </c>
      <c r="AB1" s="15" t="s">
        <v>46</v>
      </c>
      <c r="AC1" s="15" t="s">
        <v>47</v>
      </c>
      <c r="AD1" s="15" t="s">
        <v>48</v>
      </c>
      <c r="AE1" s="15" t="s">
        <v>49</v>
      </c>
      <c r="AF1" s="15" t="s">
        <v>50</v>
      </c>
      <c r="AG1" s="15" t="s">
        <v>51</v>
      </c>
      <c r="AH1" s="15" t="s">
        <v>52</v>
      </c>
      <c r="AI1" s="15" t="s">
        <v>53</v>
      </c>
      <c r="AJ1" s="15" t="s">
        <v>54</v>
      </c>
      <c r="AK1" s="15" t="s">
        <v>55</v>
      </c>
      <c r="AL1" s="15" t="s">
        <v>56</v>
      </c>
      <c r="AM1" s="15" t="s">
        <v>57</v>
      </c>
      <c r="AN1" s="15" t="s">
        <v>58</v>
      </c>
      <c r="AO1" s="15" t="s">
        <v>59</v>
      </c>
      <c r="AP1" s="15" t="s">
        <v>60</v>
      </c>
      <c r="AQ1" s="15" t="s">
        <v>61</v>
      </c>
      <c r="AR1" s="15" t="s">
        <v>62</v>
      </c>
      <c r="AS1" s="15" t="s">
        <v>63</v>
      </c>
      <c r="AT1" s="15" t="s">
        <v>64</v>
      </c>
      <c r="AU1" s="15" t="s">
        <v>65</v>
      </c>
      <c r="AV1" s="15" t="s">
        <v>66</v>
      </c>
      <c r="AW1" s="15" t="s">
        <v>67</v>
      </c>
      <c r="AX1" s="15" t="s">
        <v>68</v>
      </c>
    </row>
    <row r="2" spans="1:50">
      <c r="A2">
        <v>15</v>
      </c>
      <c r="B2">
        <v>1</v>
      </c>
      <c r="C2">
        <v>0</v>
      </c>
      <c r="D2">
        <v>42.4</v>
      </c>
      <c r="E2">
        <v>42.6</v>
      </c>
      <c r="F2">
        <v>42.5</v>
      </c>
      <c r="G2">
        <v>42.4</v>
      </c>
      <c r="H2">
        <v>42.4</v>
      </c>
      <c r="I2">
        <v>42.6</v>
      </c>
      <c r="J2">
        <v>42.4</v>
      </c>
      <c r="K2">
        <v>42.5</v>
      </c>
      <c r="L2">
        <v>40.9</v>
      </c>
      <c r="M2">
        <v>28.2</v>
      </c>
      <c r="N2">
        <v>28.2</v>
      </c>
      <c r="O2">
        <v>47.3</v>
      </c>
      <c r="P2">
        <v>47.3</v>
      </c>
      <c r="Q2">
        <v>44.8</v>
      </c>
      <c r="R2">
        <v>43.7</v>
      </c>
      <c r="S2">
        <v>24.4</v>
      </c>
      <c r="T2">
        <v>6553.5</v>
      </c>
      <c r="U2">
        <v>44.2</v>
      </c>
      <c r="V2">
        <v>44.2</v>
      </c>
      <c r="W2">
        <v>42</v>
      </c>
      <c r="X2">
        <v>6517.4</v>
      </c>
      <c r="Y2">
        <v>29.6</v>
      </c>
      <c r="Z2">
        <v>42.5</v>
      </c>
      <c r="AA2">
        <v>42.4</v>
      </c>
      <c r="AB2">
        <v>42.5</v>
      </c>
      <c r="AC2">
        <v>42.4</v>
      </c>
      <c r="AD2">
        <v>28.2</v>
      </c>
      <c r="AE2">
        <v>44.2</v>
      </c>
      <c r="AF2">
        <v>29.8</v>
      </c>
      <c r="AG2">
        <v>44.2</v>
      </c>
      <c r="AH2">
        <v>47.3</v>
      </c>
      <c r="AI2">
        <v>3.7</v>
      </c>
      <c r="AJ2">
        <v>2.6</v>
      </c>
      <c r="AK2">
        <v>6553.5</v>
      </c>
      <c r="AL2">
        <v>6553.5</v>
      </c>
      <c r="AM2">
        <v>2343.1</v>
      </c>
      <c r="AN2">
        <v>6510.5</v>
      </c>
      <c r="AO2">
        <v>9.4</v>
      </c>
      <c r="AP2">
        <v>9.4</v>
      </c>
      <c r="AQ2">
        <v>10</v>
      </c>
      <c r="AR2">
        <v>6551.2</v>
      </c>
      <c r="AS2">
        <v>49.3</v>
      </c>
      <c r="AT2">
        <v>6553</v>
      </c>
      <c r="AU2">
        <v>15</v>
      </c>
      <c r="AV2">
        <v>40</v>
      </c>
      <c r="AW2">
        <v>5</v>
      </c>
      <c r="AX2">
        <v>430</v>
      </c>
    </row>
    <row r="3" spans="1:50">
      <c r="A3">
        <v>75</v>
      </c>
      <c r="B3">
        <v>1</v>
      </c>
      <c r="C3">
        <v>0</v>
      </c>
      <c r="D3">
        <v>42.6</v>
      </c>
      <c r="E3">
        <v>42.8</v>
      </c>
      <c r="F3">
        <v>42.6</v>
      </c>
      <c r="G3">
        <v>42.6</v>
      </c>
      <c r="H3">
        <v>42.6</v>
      </c>
      <c r="I3">
        <v>42.7</v>
      </c>
      <c r="J3">
        <v>42.6</v>
      </c>
      <c r="K3">
        <v>42.7</v>
      </c>
      <c r="L3">
        <v>41.1</v>
      </c>
      <c r="M3">
        <v>27.7</v>
      </c>
      <c r="N3">
        <v>27.7</v>
      </c>
      <c r="O3">
        <v>40.6</v>
      </c>
      <c r="P3">
        <v>41</v>
      </c>
      <c r="Q3">
        <v>38.700000000000003</v>
      </c>
      <c r="R3">
        <v>38.299999999999997</v>
      </c>
      <c r="S3">
        <v>22.3</v>
      </c>
      <c r="T3">
        <v>6553.5</v>
      </c>
      <c r="U3">
        <v>39.4</v>
      </c>
      <c r="V3">
        <v>39.1</v>
      </c>
      <c r="W3">
        <v>37.299999999999997</v>
      </c>
      <c r="X3">
        <v>6517.4</v>
      </c>
      <c r="Y3">
        <v>29</v>
      </c>
      <c r="Z3">
        <v>42.7</v>
      </c>
      <c r="AA3">
        <v>42.6</v>
      </c>
      <c r="AB3">
        <v>42.6</v>
      </c>
      <c r="AC3">
        <v>42.6</v>
      </c>
      <c r="AD3">
        <v>27.7</v>
      </c>
      <c r="AE3">
        <v>38.5</v>
      </c>
      <c r="AF3">
        <v>29.1</v>
      </c>
      <c r="AG3">
        <v>39.200000000000003</v>
      </c>
      <c r="AH3">
        <v>40.799999999999997</v>
      </c>
      <c r="AI3">
        <v>3.2</v>
      </c>
      <c r="AJ3">
        <v>2.2999999999999998</v>
      </c>
      <c r="AK3">
        <v>14</v>
      </c>
      <c r="AL3">
        <v>10.8</v>
      </c>
      <c r="AM3">
        <v>2343.1</v>
      </c>
      <c r="AN3">
        <v>6510.5</v>
      </c>
      <c r="AO3">
        <v>7.1</v>
      </c>
      <c r="AP3">
        <v>7.1</v>
      </c>
      <c r="AQ3">
        <v>10</v>
      </c>
      <c r="AR3">
        <v>6551.2</v>
      </c>
      <c r="AS3">
        <v>49.4</v>
      </c>
      <c r="AT3">
        <v>6553</v>
      </c>
      <c r="AU3">
        <v>15</v>
      </c>
      <c r="AV3">
        <v>21</v>
      </c>
      <c r="AW3">
        <v>5</v>
      </c>
      <c r="AX3">
        <v>160</v>
      </c>
    </row>
    <row r="4" spans="1:50">
      <c r="A4">
        <v>75</v>
      </c>
      <c r="B4">
        <v>1</v>
      </c>
      <c r="C4">
        <v>0</v>
      </c>
      <c r="D4">
        <v>42.6</v>
      </c>
      <c r="E4">
        <v>42.8</v>
      </c>
      <c r="F4">
        <v>42.6</v>
      </c>
      <c r="G4">
        <v>42.6</v>
      </c>
      <c r="H4">
        <v>42.6</v>
      </c>
      <c r="I4">
        <v>42.7</v>
      </c>
      <c r="J4">
        <v>42.6</v>
      </c>
      <c r="K4">
        <v>42.7</v>
      </c>
      <c r="L4">
        <v>41.1</v>
      </c>
      <c r="M4">
        <v>27.7</v>
      </c>
      <c r="N4">
        <v>27.7</v>
      </c>
      <c r="O4">
        <v>40.6</v>
      </c>
      <c r="P4">
        <v>41</v>
      </c>
      <c r="Q4">
        <v>38.700000000000003</v>
      </c>
      <c r="R4">
        <v>38.299999999999997</v>
      </c>
      <c r="S4">
        <v>22.3</v>
      </c>
      <c r="T4">
        <v>6553.5</v>
      </c>
      <c r="U4">
        <v>39.4</v>
      </c>
      <c r="V4">
        <v>39.1</v>
      </c>
      <c r="W4">
        <v>37.299999999999997</v>
      </c>
      <c r="X4">
        <v>6517.4</v>
      </c>
      <c r="Y4">
        <v>29</v>
      </c>
      <c r="Z4">
        <v>42.7</v>
      </c>
      <c r="AA4">
        <v>42.6</v>
      </c>
      <c r="AB4">
        <v>42.6</v>
      </c>
      <c r="AC4">
        <v>42.6</v>
      </c>
      <c r="AD4">
        <v>27.7</v>
      </c>
      <c r="AE4">
        <v>38.5</v>
      </c>
      <c r="AF4">
        <v>29.1</v>
      </c>
      <c r="AG4">
        <v>39.200000000000003</v>
      </c>
      <c r="AH4">
        <v>40.799999999999997</v>
      </c>
      <c r="AI4">
        <v>3.2</v>
      </c>
      <c r="AJ4">
        <v>2.2999999999999998</v>
      </c>
      <c r="AK4">
        <v>14</v>
      </c>
      <c r="AL4">
        <v>10.8</v>
      </c>
      <c r="AM4">
        <v>2343.1</v>
      </c>
      <c r="AN4">
        <v>6510.5</v>
      </c>
      <c r="AO4">
        <v>7.1</v>
      </c>
      <c r="AP4">
        <v>7.1</v>
      </c>
      <c r="AQ4">
        <v>10</v>
      </c>
      <c r="AR4">
        <v>6551.2</v>
      </c>
      <c r="AS4">
        <v>49.4</v>
      </c>
      <c r="AT4">
        <v>6553</v>
      </c>
      <c r="AU4">
        <v>15</v>
      </c>
      <c r="AV4">
        <v>21</v>
      </c>
      <c r="AW4">
        <v>5</v>
      </c>
      <c r="AX4">
        <v>160</v>
      </c>
    </row>
    <row r="5" spans="1:50">
      <c r="A5">
        <v>75</v>
      </c>
      <c r="B5">
        <v>1</v>
      </c>
      <c r="C5">
        <v>0</v>
      </c>
      <c r="D5">
        <v>42.6</v>
      </c>
      <c r="E5">
        <v>42.8</v>
      </c>
      <c r="F5">
        <v>42.6</v>
      </c>
      <c r="G5">
        <v>42.6</v>
      </c>
      <c r="H5">
        <v>42.6</v>
      </c>
      <c r="I5">
        <v>42.7</v>
      </c>
      <c r="J5">
        <v>42.6</v>
      </c>
      <c r="K5">
        <v>42.7</v>
      </c>
      <c r="L5">
        <v>41.1</v>
      </c>
      <c r="M5">
        <v>27.8</v>
      </c>
      <c r="N5">
        <v>27.7</v>
      </c>
      <c r="O5">
        <v>40.6</v>
      </c>
      <c r="P5">
        <v>41</v>
      </c>
      <c r="Q5">
        <v>38.700000000000003</v>
      </c>
      <c r="R5">
        <v>38.299999999999997</v>
      </c>
      <c r="S5">
        <v>22.2</v>
      </c>
      <c r="T5">
        <v>6553.5</v>
      </c>
      <c r="U5">
        <v>39.299999999999997</v>
      </c>
      <c r="V5">
        <v>39</v>
      </c>
      <c r="W5">
        <v>37.299999999999997</v>
      </c>
      <c r="X5">
        <v>6517.4</v>
      </c>
      <c r="Y5">
        <v>29</v>
      </c>
      <c r="Z5">
        <v>42.7</v>
      </c>
      <c r="AA5">
        <v>42.6</v>
      </c>
      <c r="AB5">
        <v>42.6</v>
      </c>
      <c r="AC5">
        <v>42.6</v>
      </c>
      <c r="AD5">
        <v>27.8</v>
      </c>
      <c r="AE5">
        <v>38.5</v>
      </c>
      <c r="AF5">
        <v>29.1</v>
      </c>
      <c r="AG5">
        <v>39.200000000000003</v>
      </c>
      <c r="AH5">
        <v>40.799999999999997</v>
      </c>
      <c r="AI5">
        <v>3.2</v>
      </c>
      <c r="AJ5">
        <v>2.2999999999999998</v>
      </c>
      <c r="AK5">
        <v>14</v>
      </c>
      <c r="AL5">
        <v>10.8</v>
      </c>
      <c r="AM5">
        <v>2343.1</v>
      </c>
      <c r="AN5">
        <v>6510.5</v>
      </c>
      <c r="AO5">
        <v>7.1</v>
      </c>
      <c r="AP5">
        <v>7.1</v>
      </c>
      <c r="AQ5">
        <v>10</v>
      </c>
      <c r="AR5">
        <v>6551.2</v>
      </c>
      <c r="AS5">
        <v>49.4</v>
      </c>
      <c r="AT5">
        <v>6553</v>
      </c>
      <c r="AU5">
        <v>15</v>
      </c>
      <c r="AV5">
        <v>21</v>
      </c>
      <c r="AW5">
        <v>10</v>
      </c>
      <c r="AX5">
        <v>160</v>
      </c>
    </row>
    <row r="6" spans="1:50">
      <c r="A6">
        <v>135</v>
      </c>
      <c r="B6">
        <v>1</v>
      </c>
      <c r="C6">
        <v>0</v>
      </c>
      <c r="D6">
        <v>42.8</v>
      </c>
      <c r="E6">
        <v>42.9</v>
      </c>
      <c r="F6">
        <v>42.8</v>
      </c>
      <c r="G6">
        <v>42.8</v>
      </c>
      <c r="H6">
        <v>42.7</v>
      </c>
      <c r="I6">
        <v>42.9</v>
      </c>
      <c r="J6">
        <v>42.8</v>
      </c>
      <c r="K6">
        <v>42.8</v>
      </c>
      <c r="L6">
        <v>41.2</v>
      </c>
      <c r="M6">
        <v>27.8</v>
      </c>
      <c r="N6">
        <v>27.7</v>
      </c>
      <c r="O6">
        <v>40.6</v>
      </c>
      <c r="P6">
        <v>41</v>
      </c>
      <c r="Q6">
        <v>38.6</v>
      </c>
      <c r="R6">
        <v>38.299999999999997</v>
      </c>
      <c r="S6">
        <v>22.3</v>
      </c>
      <c r="T6">
        <v>6553.5</v>
      </c>
      <c r="U6">
        <v>39.299999999999997</v>
      </c>
      <c r="V6">
        <v>39.1</v>
      </c>
      <c r="W6">
        <v>37.200000000000003</v>
      </c>
      <c r="X6">
        <v>6517.4</v>
      </c>
      <c r="Y6">
        <v>28.9</v>
      </c>
      <c r="Z6">
        <v>42.8</v>
      </c>
      <c r="AA6">
        <v>42.8</v>
      </c>
      <c r="AB6">
        <v>42.8</v>
      </c>
      <c r="AC6">
        <v>42.8</v>
      </c>
      <c r="AD6">
        <v>27.7</v>
      </c>
      <c r="AE6">
        <v>38.4</v>
      </c>
      <c r="AF6">
        <v>29.1</v>
      </c>
      <c r="AG6">
        <v>39.200000000000003</v>
      </c>
      <c r="AH6">
        <v>40.799999999999997</v>
      </c>
      <c r="AI6">
        <v>3.1</v>
      </c>
      <c r="AJ6">
        <v>2.2000000000000002</v>
      </c>
      <c r="AK6">
        <v>14</v>
      </c>
      <c r="AL6">
        <v>10.8</v>
      </c>
      <c r="AM6">
        <v>2343.1</v>
      </c>
      <c r="AN6">
        <v>6510.5</v>
      </c>
      <c r="AO6">
        <v>8.1999999999999993</v>
      </c>
      <c r="AP6">
        <v>8.1999999999999993</v>
      </c>
      <c r="AQ6">
        <v>10</v>
      </c>
      <c r="AR6">
        <v>6551.2</v>
      </c>
      <c r="AS6">
        <v>49.4</v>
      </c>
      <c r="AT6">
        <v>6552.8</v>
      </c>
      <c r="AU6">
        <v>15</v>
      </c>
      <c r="AV6">
        <v>21</v>
      </c>
      <c r="AW6">
        <v>10</v>
      </c>
      <c r="AX6">
        <v>320</v>
      </c>
    </row>
    <row r="7" spans="1:50">
      <c r="A7">
        <v>135</v>
      </c>
      <c r="B7">
        <v>1</v>
      </c>
      <c r="C7">
        <v>0</v>
      </c>
      <c r="D7">
        <v>42.8</v>
      </c>
      <c r="E7">
        <v>42.9</v>
      </c>
      <c r="F7">
        <v>42.8</v>
      </c>
      <c r="G7">
        <v>42.8</v>
      </c>
      <c r="H7">
        <v>42.7</v>
      </c>
      <c r="I7">
        <v>42.9</v>
      </c>
      <c r="J7">
        <v>42.8</v>
      </c>
      <c r="K7">
        <v>42.8</v>
      </c>
      <c r="L7">
        <v>41.2</v>
      </c>
      <c r="M7">
        <v>27.8</v>
      </c>
      <c r="N7">
        <v>27.7</v>
      </c>
      <c r="O7">
        <v>40.6</v>
      </c>
      <c r="P7">
        <v>41</v>
      </c>
      <c r="Q7">
        <v>38.6</v>
      </c>
      <c r="R7">
        <v>38.299999999999997</v>
      </c>
      <c r="S7">
        <v>22.3</v>
      </c>
      <c r="T7">
        <v>6553.5</v>
      </c>
      <c r="U7">
        <v>39.299999999999997</v>
      </c>
      <c r="V7">
        <v>39.1</v>
      </c>
      <c r="W7">
        <v>37.200000000000003</v>
      </c>
      <c r="X7">
        <v>6517.4</v>
      </c>
      <c r="Y7">
        <v>28.9</v>
      </c>
      <c r="Z7">
        <v>42.8</v>
      </c>
      <c r="AA7">
        <v>42.8</v>
      </c>
      <c r="AB7">
        <v>42.8</v>
      </c>
      <c r="AC7">
        <v>42.8</v>
      </c>
      <c r="AD7">
        <v>27.7</v>
      </c>
      <c r="AE7">
        <v>38.4</v>
      </c>
      <c r="AF7">
        <v>29.1</v>
      </c>
      <c r="AG7">
        <v>39.200000000000003</v>
      </c>
      <c r="AH7">
        <v>40.799999999999997</v>
      </c>
      <c r="AI7">
        <v>3.1</v>
      </c>
      <c r="AJ7">
        <v>2.2000000000000002</v>
      </c>
      <c r="AK7">
        <v>14</v>
      </c>
      <c r="AL7">
        <v>10.8</v>
      </c>
      <c r="AM7">
        <v>2343.1</v>
      </c>
      <c r="AN7">
        <v>6510.5</v>
      </c>
      <c r="AO7">
        <v>8.1999999999999993</v>
      </c>
      <c r="AP7">
        <v>8.1999999999999993</v>
      </c>
      <c r="AQ7">
        <v>10</v>
      </c>
      <c r="AR7">
        <v>6551.2</v>
      </c>
      <c r="AS7">
        <v>49.4</v>
      </c>
      <c r="AT7">
        <v>6552.8</v>
      </c>
      <c r="AU7">
        <v>15</v>
      </c>
      <c r="AV7">
        <v>22</v>
      </c>
      <c r="AW7">
        <v>10</v>
      </c>
      <c r="AX7">
        <v>320</v>
      </c>
    </row>
    <row r="8" spans="1:50">
      <c r="A8">
        <v>135</v>
      </c>
      <c r="B8">
        <v>1</v>
      </c>
      <c r="C8">
        <v>0</v>
      </c>
      <c r="D8">
        <v>42.8</v>
      </c>
      <c r="E8">
        <v>42.9</v>
      </c>
      <c r="F8">
        <v>42.8</v>
      </c>
      <c r="G8">
        <v>42.8</v>
      </c>
      <c r="H8">
        <v>42.7</v>
      </c>
      <c r="I8">
        <v>42.9</v>
      </c>
      <c r="J8">
        <v>42.8</v>
      </c>
      <c r="K8">
        <v>42.8</v>
      </c>
      <c r="L8">
        <v>41.2</v>
      </c>
      <c r="M8">
        <v>27.8</v>
      </c>
      <c r="N8">
        <v>27.7</v>
      </c>
      <c r="O8">
        <v>40.6</v>
      </c>
      <c r="P8">
        <v>41</v>
      </c>
      <c r="Q8">
        <v>38.6</v>
      </c>
      <c r="R8">
        <v>38.299999999999997</v>
      </c>
      <c r="S8">
        <v>22.3</v>
      </c>
      <c r="T8">
        <v>6553.5</v>
      </c>
      <c r="U8">
        <v>39.299999999999997</v>
      </c>
      <c r="V8">
        <v>39.1</v>
      </c>
      <c r="W8">
        <v>37.200000000000003</v>
      </c>
      <c r="X8">
        <v>6517.4</v>
      </c>
      <c r="Y8">
        <v>28.9</v>
      </c>
      <c r="Z8">
        <v>42.8</v>
      </c>
      <c r="AA8">
        <v>42.8</v>
      </c>
      <c r="AB8">
        <v>42.8</v>
      </c>
      <c r="AC8">
        <v>42.8</v>
      </c>
      <c r="AD8">
        <v>27.7</v>
      </c>
      <c r="AE8">
        <v>38.4</v>
      </c>
      <c r="AF8">
        <v>29.1</v>
      </c>
      <c r="AG8">
        <v>39.200000000000003</v>
      </c>
      <c r="AH8">
        <v>40.799999999999997</v>
      </c>
      <c r="AI8">
        <v>3.1</v>
      </c>
      <c r="AJ8">
        <v>2.2000000000000002</v>
      </c>
      <c r="AK8">
        <v>14</v>
      </c>
      <c r="AL8">
        <v>10.8</v>
      </c>
      <c r="AM8">
        <v>2343.1</v>
      </c>
      <c r="AN8">
        <v>6510.5</v>
      </c>
      <c r="AO8">
        <v>8.1999999999999993</v>
      </c>
      <c r="AP8">
        <v>8.1999999999999993</v>
      </c>
      <c r="AQ8">
        <v>10</v>
      </c>
      <c r="AR8">
        <v>6551.2</v>
      </c>
      <c r="AS8">
        <v>49.4</v>
      </c>
      <c r="AT8">
        <v>6552.8</v>
      </c>
      <c r="AU8">
        <v>15</v>
      </c>
      <c r="AV8">
        <v>22</v>
      </c>
      <c r="AW8">
        <v>25</v>
      </c>
      <c r="AX8">
        <v>320</v>
      </c>
    </row>
    <row r="9" spans="1:50">
      <c r="A9">
        <v>195</v>
      </c>
      <c r="B9">
        <v>1</v>
      </c>
      <c r="C9">
        <v>0</v>
      </c>
      <c r="D9">
        <v>43.1</v>
      </c>
      <c r="E9">
        <v>43.3</v>
      </c>
      <c r="F9">
        <v>43.2</v>
      </c>
      <c r="G9">
        <v>43.2</v>
      </c>
      <c r="H9">
        <v>43.1</v>
      </c>
      <c r="I9">
        <v>43.3</v>
      </c>
      <c r="J9">
        <v>43.2</v>
      </c>
      <c r="K9">
        <v>43.2</v>
      </c>
      <c r="L9">
        <v>41.5</v>
      </c>
      <c r="M9">
        <v>29.6</v>
      </c>
      <c r="N9">
        <v>29.6</v>
      </c>
      <c r="O9">
        <v>55.3</v>
      </c>
      <c r="P9">
        <v>55.7</v>
      </c>
      <c r="Q9">
        <v>51.6</v>
      </c>
      <c r="R9">
        <v>51.5</v>
      </c>
      <c r="S9">
        <v>20.2</v>
      </c>
      <c r="T9">
        <v>6553.5</v>
      </c>
      <c r="U9">
        <v>51.3</v>
      </c>
      <c r="V9">
        <v>51.1</v>
      </c>
      <c r="W9">
        <v>48.2</v>
      </c>
      <c r="X9">
        <v>6517.4</v>
      </c>
      <c r="Y9">
        <v>31.9</v>
      </c>
      <c r="Z9">
        <v>43.2</v>
      </c>
      <c r="AA9">
        <v>43.2</v>
      </c>
      <c r="AB9">
        <v>43.2</v>
      </c>
      <c r="AC9">
        <v>43.2</v>
      </c>
      <c r="AD9">
        <v>29.6</v>
      </c>
      <c r="AE9">
        <v>51.5</v>
      </c>
      <c r="AF9">
        <v>32.200000000000003</v>
      </c>
      <c r="AG9">
        <v>51.2</v>
      </c>
      <c r="AH9">
        <v>55.5</v>
      </c>
      <c r="AI9">
        <v>4.4000000000000004</v>
      </c>
      <c r="AJ9">
        <v>3.3</v>
      </c>
      <c r="AK9">
        <v>25.3</v>
      </c>
      <c r="AL9">
        <v>20</v>
      </c>
      <c r="AM9">
        <v>2343.1</v>
      </c>
      <c r="AN9">
        <v>6510.5</v>
      </c>
      <c r="AO9">
        <v>9.6</v>
      </c>
      <c r="AP9">
        <v>10.1</v>
      </c>
      <c r="AQ9">
        <v>10</v>
      </c>
      <c r="AR9">
        <v>6551.2</v>
      </c>
      <c r="AS9">
        <v>49.4</v>
      </c>
      <c r="AT9">
        <v>6552.8</v>
      </c>
      <c r="AU9">
        <v>15</v>
      </c>
      <c r="AV9">
        <v>22</v>
      </c>
      <c r="AW9">
        <v>25</v>
      </c>
      <c r="AX9">
        <v>480</v>
      </c>
    </row>
    <row r="10" spans="1:50">
      <c r="A10">
        <v>195</v>
      </c>
      <c r="B10">
        <v>1</v>
      </c>
      <c r="C10">
        <v>0</v>
      </c>
      <c r="D10">
        <v>43.1</v>
      </c>
      <c r="E10">
        <v>43.3</v>
      </c>
      <c r="F10">
        <v>43.2</v>
      </c>
      <c r="G10">
        <v>43.2</v>
      </c>
      <c r="H10">
        <v>43.1</v>
      </c>
      <c r="I10">
        <v>43.3</v>
      </c>
      <c r="J10">
        <v>43.2</v>
      </c>
      <c r="K10">
        <v>43.2</v>
      </c>
      <c r="L10">
        <v>41.5</v>
      </c>
      <c r="M10">
        <v>29.6</v>
      </c>
      <c r="N10">
        <v>29.6</v>
      </c>
      <c r="O10">
        <v>55.3</v>
      </c>
      <c r="P10">
        <v>55.7</v>
      </c>
      <c r="Q10">
        <v>51.6</v>
      </c>
      <c r="R10">
        <v>51.5</v>
      </c>
      <c r="S10">
        <v>20.2</v>
      </c>
      <c r="T10">
        <v>6553.5</v>
      </c>
      <c r="U10">
        <v>51.3</v>
      </c>
      <c r="V10">
        <v>51.1</v>
      </c>
      <c r="W10">
        <v>48.2</v>
      </c>
      <c r="X10">
        <v>6517.4</v>
      </c>
      <c r="Y10">
        <v>31.9</v>
      </c>
      <c r="Z10">
        <v>43.2</v>
      </c>
      <c r="AA10">
        <v>43.2</v>
      </c>
      <c r="AB10">
        <v>43.2</v>
      </c>
      <c r="AC10">
        <v>43.2</v>
      </c>
      <c r="AD10">
        <v>29.6</v>
      </c>
      <c r="AE10">
        <v>51.5</v>
      </c>
      <c r="AF10">
        <v>32.200000000000003</v>
      </c>
      <c r="AG10">
        <v>51.2</v>
      </c>
      <c r="AH10">
        <v>55.5</v>
      </c>
      <c r="AI10">
        <v>4.4000000000000004</v>
      </c>
      <c r="AJ10">
        <v>3.3</v>
      </c>
      <c r="AK10">
        <v>25.2</v>
      </c>
      <c r="AL10">
        <v>20</v>
      </c>
      <c r="AM10">
        <v>2343.1</v>
      </c>
      <c r="AN10">
        <v>6510.5</v>
      </c>
      <c r="AO10">
        <v>9.6</v>
      </c>
      <c r="AP10">
        <v>10.1</v>
      </c>
      <c r="AQ10">
        <v>10</v>
      </c>
      <c r="AR10">
        <v>6551.2</v>
      </c>
      <c r="AS10">
        <v>49.4</v>
      </c>
      <c r="AT10">
        <v>6552.8</v>
      </c>
      <c r="AU10">
        <v>15</v>
      </c>
      <c r="AV10">
        <v>23</v>
      </c>
      <c r="AW10">
        <v>25</v>
      </c>
      <c r="AX10">
        <v>480</v>
      </c>
    </row>
    <row r="11" spans="1:50">
      <c r="A11">
        <v>195</v>
      </c>
      <c r="B11">
        <v>1</v>
      </c>
      <c r="C11">
        <v>0</v>
      </c>
      <c r="D11">
        <v>43.1</v>
      </c>
      <c r="E11">
        <v>43.3</v>
      </c>
      <c r="F11">
        <v>43.2</v>
      </c>
      <c r="G11">
        <v>43.2</v>
      </c>
      <c r="H11">
        <v>43.1</v>
      </c>
      <c r="I11">
        <v>43.3</v>
      </c>
      <c r="J11">
        <v>43.2</v>
      </c>
      <c r="K11">
        <v>43.2</v>
      </c>
      <c r="L11">
        <v>41.5</v>
      </c>
      <c r="M11">
        <v>29.6</v>
      </c>
      <c r="N11">
        <v>29.6</v>
      </c>
      <c r="O11">
        <v>55.3</v>
      </c>
      <c r="P11">
        <v>55.7</v>
      </c>
      <c r="Q11">
        <v>51.6</v>
      </c>
      <c r="R11">
        <v>51.5</v>
      </c>
      <c r="S11">
        <v>20.2</v>
      </c>
      <c r="T11">
        <v>6553.5</v>
      </c>
      <c r="U11">
        <v>51.3</v>
      </c>
      <c r="V11">
        <v>51.1</v>
      </c>
      <c r="W11">
        <v>48.2</v>
      </c>
      <c r="X11">
        <v>6517.4</v>
      </c>
      <c r="Y11">
        <v>31.9</v>
      </c>
      <c r="Z11">
        <v>43.2</v>
      </c>
      <c r="AA11">
        <v>43.2</v>
      </c>
      <c r="AB11">
        <v>43.2</v>
      </c>
      <c r="AC11">
        <v>43.2</v>
      </c>
      <c r="AD11">
        <v>29.6</v>
      </c>
      <c r="AE11">
        <v>51.5</v>
      </c>
      <c r="AF11">
        <v>32.200000000000003</v>
      </c>
      <c r="AG11">
        <v>51.2</v>
      </c>
      <c r="AH11">
        <v>55.5</v>
      </c>
      <c r="AI11">
        <v>4.4000000000000004</v>
      </c>
      <c r="AJ11">
        <v>3.3</v>
      </c>
      <c r="AK11">
        <v>25.2</v>
      </c>
      <c r="AL11">
        <v>20</v>
      </c>
      <c r="AM11">
        <v>2343.1</v>
      </c>
      <c r="AN11">
        <v>6510.5</v>
      </c>
      <c r="AO11">
        <v>9.6</v>
      </c>
      <c r="AP11">
        <v>10.1</v>
      </c>
      <c r="AQ11">
        <v>10</v>
      </c>
      <c r="AR11">
        <v>6551.2</v>
      </c>
      <c r="AS11">
        <v>49.4</v>
      </c>
      <c r="AT11">
        <v>6552.8</v>
      </c>
      <c r="AU11">
        <v>15</v>
      </c>
      <c r="AV11">
        <v>23</v>
      </c>
      <c r="AW11">
        <v>33</v>
      </c>
      <c r="AX11">
        <v>480</v>
      </c>
    </row>
    <row r="12" spans="1:50">
      <c r="A12">
        <v>255</v>
      </c>
      <c r="B12">
        <v>1</v>
      </c>
      <c r="C12">
        <v>0</v>
      </c>
      <c r="D12">
        <v>43.8</v>
      </c>
      <c r="E12">
        <v>44</v>
      </c>
      <c r="F12">
        <v>43.9</v>
      </c>
      <c r="G12">
        <v>43.9</v>
      </c>
      <c r="H12">
        <v>43.8</v>
      </c>
      <c r="I12">
        <v>44</v>
      </c>
      <c r="J12">
        <v>43.9</v>
      </c>
      <c r="K12">
        <v>43.9</v>
      </c>
      <c r="L12">
        <v>41.9</v>
      </c>
      <c r="M12">
        <v>31.4</v>
      </c>
      <c r="N12">
        <v>31.4</v>
      </c>
      <c r="O12">
        <v>66</v>
      </c>
      <c r="P12">
        <v>66.400000000000006</v>
      </c>
      <c r="Q12">
        <v>61.8</v>
      </c>
      <c r="R12">
        <v>61.6</v>
      </c>
      <c r="S12">
        <v>19.100000000000001</v>
      </c>
      <c r="T12">
        <v>6553.5</v>
      </c>
      <c r="U12">
        <v>60.3</v>
      </c>
      <c r="V12">
        <v>60</v>
      </c>
      <c r="W12">
        <v>56.4</v>
      </c>
      <c r="X12">
        <v>6517.4</v>
      </c>
      <c r="Y12">
        <v>34.299999999999997</v>
      </c>
      <c r="Z12">
        <v>43.9</v>
      </c>
      <c r="AA12">
        <v>43.9</v>
      </c>
      <c r="AB12">
        <v>43.9</v>
      </c>
      <c r="AC12">
        <v>43.9</v>
      </c>
      <c r="AD12">
        <v>31.4</v>
      </c>
      <c r="AE12">
        <v>61.7</v>
      </c>
      <c r="AF12">
        <v>34.700000000000003</v>
      </c>
      <c r="AG12">
        <v>60.1</v>
      </c>
      <c r="AH12">
        <v>66.2</v>
      </c>
      <c r="AI12">
        <v>5.3</v>
      </c>
      <c r="AJ12">
        <v>4.2</v>
      </c>
      <c r="AK12">
        <v>33.1</v>
      </c>
      <c r="AL12">
        <v>26.1</v>
      </c>
      <c r="AM12">
        <v>2343.1</v>
      </c>
      <c r="AN12">
        <v>6510.5</v>
      </c>
      <c r="AO12">
        <v>9.6</v>
      </c>
      <c r="AP12">
        <v>10.1</v>
      </c>
      <c r="AQ12">
        <v>10</v>
      </c>
      <c r="AR12">
        <v>6551.2</v>
      </c>
      <c r="AS12">
        <v>49.5</v>
      </c>
      <c r="AT12">
        <v>6552.7</v>
      </c>
      <c r="AU12">
        <v>15</v>
      </c>
      <c r="AV12">
        <v>23</v>
      </c>
      <c r="AW12">
        <v>33</v>
      </c>
      <c r="AX12">
        <v>560</v>
      </c>
    </row>
    <row r="13" spans="1:50">
      <c r="A13">
        <v>255</v>
      </c>
      <c r="B13">
        <v>1</v>
      </c>
      <c r="C13">
        <v>0</v>
      </c>
      <c r="D13">
        <v>43.8</v>
      </c>
      <c r="E13">
        <v>44</v>
      </c>
      <c r="F13">
        <v>43.9</v>
      </c>
      <c r="G13">
        <v>43.9</v>
      </c>
      <c r="H13">
        <v>43.8</v>
      </c>
      <c r="I13">
        <v>44</v>
      </c>
      <c r="J13">
        <v>43.9</v>
      </c>
      <c r="K13">
        <v>43.9</v>
      </c>
      <c r="L13">
        <v>41.9</v>
      </c>
      <c r="M13">
        <v>31.4</v>
      </c>
      <c r="N13">
        <v>31.4</v>
      </c>
      <c r="O13">
        <v>66</v>
      </c>
      <c r="P13">
        <v>66.400000000000006</v>
      </c>
      <c r="Q13">
        <v>61.8</v>
      </c>
      <c r="R13">
        <v>61.6</v>
      </c>
      <c r="S13">
        <v>19.100000000000001</v>
      </c>
      <c r="T13">
        <v>6553.5</v>
      </c>
      <c r="U13">
        <v>60.3</v>
      </c>
      <c r="V13">
        <v>60</v>
      </c>
      <c r="W13">
        <v>56.4</v>
      </c>
      <c r="X13">
        <v>6517.4</v>
      </c>
      <c r="Y13">
        <v>34.299999999999997</v>
      </c>
      <c r="Z13">
        <v>43.9</v>
      </c>
      <c r="AA13">
        <v>43.9</v>
      </c>
      <c r="AB13">
        <v>43.9</v>
      </c>
      <c r="AC13">
        <v>43.9</v>
      </c>
      <c r="AD13">
        <v>31.4</v>
      </c>
      <c r="AE13">
        <v>61.7</v>
      </c>
      <c r="AF13">
        <v>34.700000000000003</v>
      </c>
      <c r="AG13">
        <v>60.1</v>
      </c>
      <c r="AH13">
        <v>66.2</v>
      </c>
      <c r="AI13">
        <v>5.3</v>
      </c>
      <c r="AJ13">
        <v>4.2</v>
      </c>
      <c r="AK13">
        <v>33.1</v>
      </c>
      <c r="AL13">
        <v>26</v>
      </c>
      <c r="AM13">
        <v>2343.1</v>
      </c>
      <c r="AN13">
        <v>6510.5</v>
      </c>
      <c r="AO13">
        <v>9.6</v>
      </c>
      <c r="AP13">
        <v>10.1</v>
      </c>
      <c r="AQ13">
        <v>10</v>
      </c>
      <c r="AR13">
        <v>6551.2</v>
      </c>
      <c r="AS13">
        <v>49.5</v>
      </c>
      <c r="AT13">
        <v>6552.7</v>
      </c>
      <c r="AU13">
        <v>15</v>
      </c>
      <c r="AV13">
        <v>23</v>
      </c>
      <c r="AW13">
        <v>33</v>
      </c>
      <c r="AX13">
        <v>560</v>
      </c>
    </row>
    <row r="14" spans="1:50">
      <c r="A14">
        <v>255</v>
      </c>
      <c r="B14">
        <v>1</v>
      </c>
      <c r="C14">
        <v>0</v>
      </c>
      <c r="D14">
        <v>43.8</v>
      </c>
      <c r="E14">
        <v>44</v>
      </c>
      <c r="F14">
        <v>43.9</v>
      </c>
      <c r="G14">
        <v>43.9</v>
      </c>
      <c r="H14">
        <v>43.8</v>
      </c>
      <c r="I14">
        <v>44</v>
      </c>
      <c r="J14">
        <v>43.9</v>
      </c>
      <c r="K14">
        <v>43.9</v>
      </c>
      <c r="L14">
        <v>41.9</v>
      </c>
      <c r="M14">
        <v>31.4</v>
      </c>
      <c r="N14">
        <v>31.4</v>
      </c>
      <c r="O14">
        <v>66</v>
      </c>
      <c r="P14">
        <v>66.400000000000006</v>
      </c>
      <c r="Q14">
        <v>61.8</v>
      </c>
      <c r="R14">
        <v>61.6</v>
      </c>
      <c r="S14">
        <v>19.100000000000001</v>
      </c>
      <c r="T14">
        <v>6553.5</v>
      </c>
      <c r="U14">
        <v>60.3</v>
      </c>
      <c r="V14">
        <v>60</v>
      </c>
      <c r="W14">
        <v>56.4</v>
      </c>
      <c r="X14">
        <v>6517.4</v>
      </c>
      <c r="Y14">
        <v>34.299999999999997</v>
      </c>
      <c r="Z14">
        <v>43.9</v>
      </c>
      <c r="AA14">
        <v>43.9</v>
      </c>
      <c r="AB14">
        <v>43.9</v>
      </c>
      <c r="AC14">
        <v>43.9</v>
      </c>
      <c r="AD14">
        <v>31.4</v>
      </c>
      <c r="AE14">
        <v>61.7</v>
      </c>
      <c r="AF14">
        <v>34.700000000000003</v>
      </c>
      <c r="AG14">
        <v>60.1</v>
      </c>
      <c r="AH14">
        <v>66.2</v>
      </c>
      <c r="AI14">
        <v>5.3</v>
      </c>
      <c r="AJ14">
        <v>4.2</v>
      </c>
      <c r="AK14">
        <v>33.1</v>
      </c>
      <c r="AL14">
        <v>26</v>
      </c>
      <c r="AM14">
        <v>2343.1</v>
      </c>
      <c r="AN14">
        <v>6510.5</v>
      </c>
      <c r="AO14">
        <v>9.6</v>
      </c>
      <c r="AP14">
        <v>10.1</v>
      </c>
      <c r="AQ14">
        <v>10</v>
      </c>
      <c r="AR14">
        <v>6551.2</v>
      </c>
      <c r="AS14">
        <v>49.5</v>
      </c>
      <c r="AT14">
        <v>6552.7</v>
      </c>
      <c r="AU14">
        <v>15</v>
      </c>
      <c r="AV14">
        <v>23</v>
      </c>
      <c r="AW14">
        <v>15</v>
      </c>
      <c r="AX14">
        <v>560</v>
      </c>
    </row>
    <row r="15" spans="1:50">
      <c r="A15">
        <v>315</v>
      </c>
      <c r="B15">
        <v>1</v>
      </c>
      <c r="C15">
        <v>0</v>
      </c>
      <c r="D15">
        <v>44.2</v>
      </c>
      <c r="E15">
        <v>44.4</v>
      </c>
      <c r="F15">
        <v>44.3</v>
      </c>
      <c r="G15">
        <v>44.3</v>
      </c>
      <c r="H15">
        <v>44.2</v>
      </c>
      <c r="I15">
        <v>44.4</v>
      </c>
      <c r="J15">
        <v>44.2</v>
      </c>
      <c r="K15">
        <v>44.3</v>
      </c>
      <c r="L15">
        <v>42.3</v>
      </c>
      <c r="M15">
        <v>28.6</v>
      </c>
      <c r="N15">
        <v>28.5</v>
      </c>
      <c r="O15">
        <v>44.6</v>
      </c>
      <c r="P15">
        <v>44.8</v>
      </c>
      <c r="Q15">
        <v>41.6</v>
      </c>
      <c r="R15">
        <v>41.6</v>
      </c>
      <c r="S15">
        <v>22.1</v>
      </c>
      <c r="T15">
        <v>6553.5</v>
      </c>
      <c r="U15">
        <v>42.4</v>
      </c>
      <c r="V15">
        <v>42.1</v>
      </c>
      <c r="W15">
        <v>40.1</v>
      </c>
      <c r="X15">
        <v>6517.4</v>
      </c>
      <c r="Y15">
        <v>29.9</v>
      </c>
      <c r="Z15">
        <v>44.3</v>
      </c>
      <c r="AA15">
        <v>44.3</v>
      </c>
      <c r="AB15">
        <v>44.3</v>
      </c>
      <c r="AC15">
        <v>44.3</v>
      </c>
      <c r="AD15">
        <v>28.5</v>
      </c>
      <c r="AE15">
        <v>41.6</v>
      </c>
      <c r="AF15">
        <v>30.1</v>
      </c>
      <c r="AG15">
        <v>42.2</v>
      </c>
      <c r="AH15">
        <v>44.6</v>
      </c>
      <c r="AI15">
        <v>3.5</v>
      </c>
      <c r="AJ15">
        <v>2.5</v>
      </c>
      <c r="AK15">
        <v>16.2</v>
      </c>
      <c r="AL15">
        <v>13.2</v>
      </c>
      <c r="AM15">
        <v>2343.1</v>
      </c>
      <c r="AN15">
        <v>6510.5</v>
      </c>
      <c r="AO15">
        <v>9.6</v>
      </c>
      <c r="AP15">
        <v>10</v>
      </c>
      <c r="AQ15">
        <v>10</v>
      </c>
      <c r="AR15">
        <v>6551.2</v>
      </c>
      <c r="AS15">
        <v>49.5</v>
      </c>
      <c r="AT15">
        <v>6553</v>
      </c>
      <c r="AU15">
        <v>15</v>
      </c>
      <c r="AV15">
        <v>23</v>
      </c>
      <c r="AW15">
        <v>15</v>
      </c>
      <c r="AX15">
        <v>380</v>
      </c>
    </row>
    <row r="16" spans="1:50">
      <c r="A16">
        <v>315</v>
      </c>
      <c r="B16">
        <v>1</v>
      </c>
      <c r="C16">
        <v>0</v>
      </c>
      <c r="D16">
        <v>44.2</v>
      </c>
      <c r="E16">
        <v>44.4</v>
      </c>
      <c r="F16">
        <v>44.3</v>
      </c>
      <c r="G16">
        <v>44.3</v>
      </c>
      <c r="H16">
        <v>44.2</v>
      </c>
      <c r="I16">
        <v>44.4</v>
      </c>
      <c r="J16">
        <v>44.2</v>
      </c>
      <c r="K16">
        <v>44.3</v>
      </c>
      <c r="L16">
        <v>42.3</v>
      </c>
      <c r="M16">
        <v>28.6</v>
      </c>
      <c r="N16">
        <v>28.5</v>
      </c>
      <c r="O16">
        <v>44.6</v>
      </c>
      <c r="P16">
        <v>44.8</v>
      </c>
      <c r="Q16">
        <v>41.6</v>
      </c>
      <c r="R16">
        <v>41.6</v>
      </c>
      <c r="S16">
        <v>22.1</v>
      </c>
      <c r="T16">
        <v>6553.5</v>
      </c>
      <c r="U16">
        <v>42.4</v>
      </c>
      <c r="V16">
        <v>42.1</v>
      </c>
      <c r="W16">
        <v>40.1</v>
      </c>
      <c r="X16">
        <v>6517.4</v>
      </c>
      <c r="Y16">
        <v>29.9</v>
      </c>
      <c r="Z16">
        <v>44.3</v>
      </c>
      <c r="AA16">
        <v>44.3</v>
      </c>
      <c r="AB16">
        <v>44.3</v>
      </c>
      <c r="AC16">
        <v>44.3</v>
      </c>
      <c r="AD16">
        <v>28.5</v>
      </c>
      <c r="AE16">
        <v>41.6</v>
      </c>
      <c r="AF16">
        <v>30.1</v>
      </c>
      <c r="AG16">
        <v>42.2</v>
      </c>
      <c r="AH16">
        <v>44.6</v>
      </c>
      <c r="AI16">
        <v>3.5</v>
      </c>
      <c r="AJ16">
        <v>2.5</v>
      </c>
      <c r="AK16">
        <v>16.2</v>
      </c>
      <c r="AL16">
        <v>13.2</v>
      </c>
      <c r="AM16">
        <v>2343.1</v>
      </c>
      <c r="AN16">
        <v>6510.5</v>
      </c>
      <c r="AO16">
        <v>9.6</v>
      </c>
      <c r="AP16">
        <v>10</v>
      </c>
      <c r="AQ16">
        <v>10</v>
      </c>
      <c r="AR16">
        <v>6551.2</v>
      </c>
      <c r="AS16">
        <v>49.5</v>
      </c>
      <c r="AT16">
        <v>6553</v>
      </c>
      <c r="AU16">
        <v>15</v>
      </c>
      <c r="AV16">
        <v>24</v>
      </c>
      <c r="AW16">
        <v>15</v>
      </c>
      <c r="AX16">
        <v>380</v>
      </c>
    </row>
    <row r="17" spans="1:50">
      <c r="A17">
        <v>315</v>
      </c>
      <c r="B17">
        <v>1</v>
      </c>
      <c r="C17">
        <v>0</v>
      </c>
      <c r="D17">
        <v>44.2</v>
      </c>
      <c r="E17">
        <v>44.4</v>
      </c>
      <c r="F17">
        <v>44.3</v>
      </c>
      <c r="G17">
        <v>44.3</v>
      </c>
      <c r="H17">
        <v>44.2</v>
      </c>
      <c r="I17">
        <v>44.4</v>
      </c>
      <c r="J17">
        <v>44.2</v>
      </c>
      <c r="K17">
        <v>44.3</v>
      </c>
      <c r="L17">
        <v>42.3</v>
      </c>
      <c r="M17">
        <v>28.6</v>
      </c>
      <c r="N17">
        <v>28.5</v>
      </c>
      <c r="O17">
        <v>44.6</v>
      </c>
      <c r="P17">
        <v>44.8</v>
      </c>
      <c r="Q17">
        <v>41.6</v>
      </c>
      <c r="R17">
        <v>41.6</v>
      </c>
      <c r="S17">
        <v>22.1</v>
      </c>
      <c r="T17">
        <v>6553.5</v>
      </c>
      <c r="U17">
        <v>42.4</v>
      </c>
      <c r="V17">
        <v>42.1</v>
      </c>
      <c r="W17">
        <v>40.1</v>
      </c>
      <c r="X17">
        <v>6517.4</v>
      </c>
      <c r="Y17">
        <v>29.9</v>
      </c>
      <c r="Z17">
        <v>44.3</v>
      </c>
      <c r="AA17">
        <v>44.3</v>
      </c>
      <c r="AB17">
        <v>44.3</v>
      </c>
      <c r="AC17">
        <v>44.3</v>
      </c>
      <c r="AD17">
        <v>28.5</v>
      </c>
      <c r="AE17">
        <v>41.6</v>
      </c>
      <c r="AF17">
        <v>30.1</v>
      </c>
      <c r="AG17">
        <v>42.2</v>
      </c>
      <c r="AH17">
        <v>44.6</v>
      </c>
      <c r="AI17">
        <v>3.5</v>
      </c>
      <c r="AJ17">
        <v>2.5</v>
      </c>
      <c r="AK17">
        <v>16.2</v>
      </c>
      <c r="AL17">
        <v>13.2</v>
      </c>
      <c r="AM17">
        <v>2343.1</v>
      </c>
      <c r="AN17">
        <v>6510.5</v>
      </c>
      <c r="AO17">
        <v>9.6</v>
      </c>
      <c r="AP17">
        <v>10</v>
      </c>
      <c r="AQ17">
        <v>10</v>
      </c>
      <c r="AR17">
        <v>6551.2</v>
      </c>
      <c r="AS17">
        <v>49.5</v>
      </c>
      <c r="AT17">
        <v>6553</v>
      </c>
      <c r="AU17">
        <v>15</v>
      </c>
      <c r="AV17">
        <v>24</v>
      </c>
      <c r="AW17">
        <v>20</v>
      </c>
      <c r="AX17">
        <v>380</v>
      </c>
    </row>
    <row r="18" spans="1:50">
      <c r="A18">
        <v>375</v>
      </c>
      <c r="B18">
        <v>1</v>
      </c>
      <c r="C18">
        <v>0</v>
      </c>
      <c r="D18">
        <v>44.6</v>
      </c>
      <c r="E18">
        <v>44.7</v>
      </c>
      <c r="F18">
        <v>44.6</v>
      </c>
      <c r="G18">
        <v>44.6</v>
      </c>
      <c r="H18">
        <v>44.5</v>
      </c>
      <c r="I18">
        <v>44.7</v>
      </c>
      <c r="J18">
        <v>44.6</v>
      </c>
      <c r="K18">
        <v>44.7</v>
      </c>
      <c r="L18">
        <v>42.7</v>
      </c>
      <c r="M18">
        <v>29.2</v>
      </c>
      <c r="N18">
        <v>29.2</v>
      </c>
      <c r="O18">
        <v>49.6</v>
      </c>
      <c r="P18">
        <v>49.7</v>
      </c>
      <c r="Q18">
        <v>46.4</v>
      </c>
      <c r="R18">
        <v>46.5</v>
      </c>
      <c r="S18">
        <v>21.3</v>
      </c>
      <c r="T18">
        <v>6553.5</v>
      </c>
      <c r="U18">
        <v>46.7</v>
      </c>
      <c r="V18">
        <v>46.4</v>
      </c>
      <c r="W18">
        <v>43.9</v>
      </c>
      <c r="X18">
        <v>6517.4</v>
      </c>
      <c r="Y18">
        <v>31.1</v>
      </c>
      <c r="Z18">
        <v>44.6</v>
      </c>
      <c r="AA18">
        <v>44.6</v>
      </c>
      <c r="AB18">
        <v>44.6</v>
      </c>
      <c r="AC18">
        <v>44.6</v>
      </c>
      <c r="AD18">
        <v>29.2</v>
      </c>
      <c r="AE18">
        <v>46.4</v>
      </c>
      <c r="AF18">
        <v>31.3</v>
      </c>
      <c r="AG18">
        <v>46.5</v>
      </c>
      <c r="AH18">
        <v>49.6</v>
      </c>
      <c r="AI18">
        <v>4.0999999999999996</v>
      </c>
      <c r="AJ18">
        <v>3</v>
      </c>
      <c r="AK18">
        <v>20.100000000000001</v>
      </c>
      <c r="AL18">
        <v>16.3</v>
      </c>
      <c r="AM18">
        <v>2343.1</v>
      </c>
      <c r="AN18">
        <v>6510.5</v>
      </c>
      <c r="AO18">
        <v>9.6999999999999993</v>
      </c>
      <c r="AP18">
        <v>10.1</v>
      </c>
      <c r="AQ18">
        <v>10</v>
      </c>
      <c r="AR18">
        <v>6551.2</v>
      </c>
      <c r="AS18">
        <v>49.5</v>
      </c>
      <c r="AT18">
        <v>6553</v>
      </c>
      <c r="AU18">
        <v>15</v>
      </c>
      <c r="AV18">
        <v>24</v>
      </c>
      <c r="AW18">
        <v>20</v>
      </c>
      <c r="AX18">
        <v>430</v>
      </c>
    </row>
    <row r="19" spans="1:50">
      <c r="A19">
        <v>375</v>
      </c>
      <c r="B19">
        <v>1</v>
      </c>
      <c r="C19">
        <v>0</v>
      </c>
      <c r="D19">
        <v>44.6</v>
      </c>
      <c r="E19">
        <v>44.7</v>
      </c>
      <c r="F19">
        <v>44.6</v>
      </c>
      <c r="G19">
        <v>44.6</v>
      </c>
      <c r="H19">
        <v>44.5</v>
      </c>
      <c r="I19">
        <v>44.7</v>
      </c>
      <c r="J19">
        <v>44.6</v>
      </c>
      <c r="K19">
        <v>44.7</v>
      </c>
      <c r="L19">
        <v>42.7</v>
      </c>
      <c r="M19">
        <v>29.2</v>
      </c>
      <c r="N19">
        <v>29.2</v>
      </c>
      <c r="O19">
        <v>49.6</v>
      </c>
      <c r="P19">
        <v>49.7</v>
      </c>
      <c r="Q19">
        <v>46.4</v>
      </c>
      <c r="R19">
        <v>46.5</v>
      </c>
      <c r="S19">
        <v>21.3</v>
      </c>
      <c r="T19">
        <v>6553.5</v>
      </c>
      <c r="U19">
        <v>46.7</v>
      </c>
      <c r="V19">
        <v>46.4</v>
      </c>
      <c r="W19">
        <v>43.9</v>
      </c>
      <c r="X19">
        <v>6517.4</v>
      </c>
      <c r="Y19">
        <v>31.1</v>
      </c>
      <c r="Z19">
        <v>44.6</v>
      </c>
      <c r="AA19">
        <v>44.6</v>
      </c>
      <c r="AB19">
        <v>44.6</v>
      </c>
      <c r="AC19">
        <v>44.6</v>
      </c>
      <c r="AD19">
        <v>29.2</v>
      </c>
      <c r="AE19">
        <v>46.4</v>
      </c>
      <c r="AF19">
        <v>31.3</v>
      </c>
      <c r="AG19">
        <v>46.5</v>
      </c>
      <c r="AH19">
        <v>49.6</v>
      </c>
      <c r="AI19">
        <v>4.0999999999999996</v>
      </c>
      <c r="AJ19">
        <v>3</v>
      </c>
      <c r="AK19">
        <v>20.100000000000001</v>
      </c>
      <c r="AL19">
        <v>16.3</v>
      </c>
      <c r="AM19">
        <v>2343.1</v>
      </c>
      <c r="AN19">
        <v>6510.5</v>
      </c>
      <c r="AO19">
        <v>9.6999999999999993</v>
      </c>
      <c r="AP19">
        <v>10.1</v>
      </c>
      <c r="AQ19">
        <v>10</v>
      </c>
      <c r="AR19">
        <v>6551.2</v>
      </c>
      <c r="AS19">
        <v>49.5</v>
      </c>
      <c r="AT19">
        <v>6553</v>
      </c>
      <c r="AU19">
        <v>15</v>
      </c>
      <c r="AV19">
        <v>25</v>
      </c>
      <c r="AW19">
        <v>20</v>
      </c>
      <c r="AX19">
        <v>430</v>
      </c>
    </row>
    <row r="20" spans="1:50">
      <c r="A20">
        <v>375</v>
      </c>
      <c r="B20">
        <v>1</v>
      </c>
      <c r="C20">
        <v>0</v>
      </c>
      <c r="D20">
        <v>44.6</v>
      </c>
      <c r="E20">
        <v>44.7</v>
      </c>
      <c r="F20">
        <v>44.6</v>
      </c>
      <c r="G20">
        <v>44.6</v>
      </c>
      <c r="H20">
        <v>44.5</v>
      </c>
      <c r="I20">
        <v>44.7</v>
      </c>
      <c r="J20">
        <v>44.6</v>
      </c>
      <c r="K20">
        <v>44.7</v>
      </c>
      <c r="L20">
        <v>42.7</v>
      </c>
      <c r="M20">
        <v>29.2</v>
      </c>
      <c r="N20">
        <v>29.2</v>
      </c>
      <c r="O20">
        <v>49.6</v>
      </c>
      <c r="P20">
        <v>49.7</v>
      </c>
      <c r="Q20">
        <v>46.4</v>
      </c>
      <c r="R20">
        <v>46.5</v>
      </c>
      <c r="S20">
        <v>21.3</v>
      </c>
      <c r="T20">
        <v>6553.5</v>
      </c>
      <c r="U20">
        <v>46.7</v>
      </c>
      <c r="V20">
        <v>46.4</v>
      </c>
      <c r="W20">
        <v>43.9</v>
      </c>
      <c r="X20">
        <v>6517.4</v>
      </c>
      <c r="Y20">
        <v>31.1</v>
      </c>
      <c r="Z20">
        <v>44.6</v>
      </c>
      <c r="AA20">
        <v>44.6</v>
      </c>
      <c r="AB20">
        <v>44.6</v>
      </c>
      <c r="AC20">
        <v>44.6</v>
      </c>
      <c r="AD20">
        <v>29.2</v>
      </c>
      <c r="AE20">
        <v>46.4</v>
      </c>
      <c r="AF20">
        <v>31.3</v>
      </c>
      <c r="AG20">
        <v>46.5</v>
      </c>
      <c r="AH20">
        <v>49.6</v>
      </c>
      <c r="AI20">
        <v>4.0999999999999996</v>
      </c>
      <c r="AJ20">
        <v>3</v>
      </c>
      <c r="AK20">
        <v>20.100000000000001</v>
      </c>
      <c r="AL20">
        <v>16.3</v>
      </c>
      <c r="AM20">
        <v>2343.1</v>
      </c>
      <c r="AN20">
        <v>6510.5</v>
      </c>
      <c r="AO20">
        <v>9.6999999999999993</v>
      </c>
      <c r="AP20">
        <v>10.1</v>
      </c>
      <c r="AQ20">
        <v>10</v>
      </c>
      <c r="AR20">
        <v>6551.2</v>
      </c>
      <c r="AS20">
        <v>49.5</v>
      </c>
      <c r="AT20">
        <v>6553</v>
      </c>
      <c r="AU20">
        <v>15</v>
      </c>
      <c r="AV20">
        <v>25</v>
      </c>
      <c r="AW20">
        <v>25</v>
      </c>
      <c r="AX20">
        <v>430</v>
      </c>
    </row>
    <row r="21" spans="1:50">
      <c r="A21">
        <v>435</v>
      </c>
      <c r="B21">
        <v>1</v>
      </c>
      <c r="C21">
        <v>0</v>
      </c>
      <c r="D21">
        <v>45</v>
      </c>
      <c r="E21">
        <v>45.2</v>
      </c>
      <c r="F21">
        <v>45.1</v>
      </c>
      <c r="G21">
        <v>45.1</v>
      </c>
      <c r="H21">
        <v>44.9</v>
      </c>
      <c r="I21">
        <v>45.2</v>
      </c>
      <c r="J21">
        <v>45</v>
      </c>
      <c r="K21">
        <v>45.1</v>
      </c>
      <c r="L21">
        <v>43</v>
      </c>
      <c r="M21">
        <v>30.1</v>
      </c>
      <c r="N21">
        <v>30</v>
      </c>
      <c r="O21">
        <v>55.9</v>
      </c>
      <c r="P21">
        <v>56.3</v>
      </c>
      <c r="Q21">
        <v>52.5</v>
      </c>
      <c r="R21">
        <v>52.4</v>
      </c>
      <c r="S21">
        <v>20.399999999999999</v>
      </c>
      <c r="T21">
        <v>6553.5</v>
      </c>
      <c r="U21">
        <v>51.9</v>
      </c>
      <c r="V21">
        <v>51.8</v>
      </c>
      <c r="W21">
        <v>48.8</v>
      </c>
      <c r="X21">
        <v>6517.4</v>
      </c>
      <c r="Y21">
        <v>32.299999999999997</v>
      </c>
      <c r="Z21">
        <v>45.1</v>
      </c>
      <c r="AA21">
        <v>45.1</v>
      </c>
      <c r="AB21">
        <v>45.1</v>
      </c>
      <c r="AC21">
        <v>45.1</v>
      </c>
      <c r="AD21">
        <v>30</v>
      </c>
      <c r="AE21">
        <v>52.4</v>
      </c>
      <c r="AF21">
        <v>32.5</v>
      </c>
      <c r="AG21">
        <v>51.9</v>
      </c>
      <c r="AH21">
        <v>56.1</v>
      </c>
      <c r="AI21">
        <v>4.5</v>
      </c>
      <c r="AJ21">
        <v>3.4</v>
      </c>
      <c r="AK21">
        <v>25.2</v>
      </c>
      <c r="AL21">
        <v>20.3</v>
      </c>
      <c r="AM21">
        <v>2343.1</v>
      </c>
      <c r="AN21">
        <v>6510.5</v>
      </c>
      <c r="AO21">
        <v>9.6</v>
      </c>
      <c r="AP21">
        <v>10.1</v>
      </c>
      <c r="AQ21">
        <v>10</v>
      </c>
      <c r="AR21">
        <v>6551.2</v>
      </c>
      <c r="AS21">
        <v>49.5</v>
      </c>
      <c r="AT21">
        <v>6553.3</v>
      </c>
      <c r="AU21">
        <v>15</v>
      </c>
      <c r="AV21">
        <v>25</v>
      </c>
      <c r="AW21">
        <v>25</v>
      </c>
      <c r="AX21">
        <v>490</v>
      </c>
    </row>
    <row r="22" spans="1:50">
      <c r="A22">
        <v>435</v>
      </c>
      <c r="B22">
        <v>1</v>
      </c>
      <c r="C22">
        <v>0</v>
      </c>
      <c r="D22">
        <v>45</v>
      </c>
      <c r="E22">
        <v>45.2</v>
      </c>
      <c r="F22">
        <v>45.1</v>
      </c>
      <c r="G22">
        <v>45.1</v>
      </c>
      <c r="H22">
        <v>44.9</v>
      </c>
      <c r="I22">
        <v>45.2</v>
      </c>
      <c r="J22">
        <v>45</v>
      </c>
      <c r="K22">
        <v>45.1</v>
      </c>
      <c r="L22">
        <v>43</v>
      </c>
      <c r="M22">
        <v>30.1</v>
      </c>
      <c r="N22">
        <v>30</v>
      </c>
      <c r="O22">
        <v>55.9</v>
      </c>
      <c r="P22">
        <v>56.3</v>
      </c>
      <c r="Q22">
        <v>52.5</v>
      </c>
      <c r="R22">
        <v>52.4</v>
      </c>
      <c r="S22">
        <v>20.399999999999999</v>
      </c>
      <c r="T22">
        <v>6553.5</v>
      </c>
      <c r="U22">
        <v>51.9</v>
      </c>
      <c r="V22">
        <v>51.8</v>
      </c>
      <c r="W22">
        <v>48.8</v>
      </c>
      <c r="X22">
        <v>6517.4</v>
      </c>
      <c r="Y22">
        <v>32.299999999999997</v>
      </c>
      <c r="Z22">
        <v>45.1</v>
      </c>
      <c r="AA22">
        <v>45.1</v>
      </c>
      <c r="AB22">
        <v>45.1</v>
      </c>
      <c r="AC22">
        <v>45.1</v>
      </c>
      <c r="AD22">
        <v>30</v>
      </c>
      <c r="AE22">
        <v>52.4</v>
      </c>
      <c r="AF22">
        <v>32.5</v>
      </c>
      <c r="AG22">
        <v>51.9</v>
      </c>
      <c r="AH22">
        <v>56.1</v>
      </c>
      <c r="AI22">
        <v>4.5</v>
      </c>
      <c r="AJ22">
        <v>3.4</v>
      </c>
      <c r="AK22">
        <v>25.2</v>
      </c>
      <c r="AL22">
        <v>20.399999999999999</v>
      </c>
      <c r="AM22">
        <v>2343.1</v>
      </c>
      <c r="AN22">
        <v>6510.5</v>
      </c>
      <c r="AO22">
        <v>9.6</v>
      </c>
      <c r="AP22">
        <v>10.1</v>
      </c>
      <c r="AQ22">
        <v>10</v>
      </c>
      <c r="AR22">
        <v>6551.2</v>
      </c>
      <c r="AS22">
        <v>49.5</v>
      </c>
      <c r="AT22">
        <v>6553.3</v>
      </c>
      <c r="AU22">
        <v>15</v>
      </c>
      <c r="AV22">
        <v>27</v>
      </c>
      <c r="AW22">
        <v>25</v>
      </c>
      <c r="AX22">
        <v>490</v>
      </c>
    </row>
    <row r="23" spans="1:50">
      <c r="A23">
        <v>435</v>
      </c>
      <c r="B23">
        <v>1</v>
      </c>
      <c r="C23">
        <v>0</v>
      </c>
      <c r="D23">
        <v>45</v>
      </c>
      <c r="E23">
        <v>45.2</v>
      </c>
      <c r="F23">
        <v>45.1</v>
      </c>
      <c r="G23">
        <v>45.1</v>
      </c>
      <c r="H23">
        <v>44.9</v>
      </c>
      <c r="I23">
        <v>45.2</v>
      </c>
      <c r="J23">
        <v>45</v>
      </c>
      <c r="K23">
        <v>45.1</v>
      </c>
      <c r="L23">
        <v>43</v>
      </c>
      <c r="M23">
        <v>30.1</v>
      </c>
      <c r="N23">
        <v>30</v>
      </c>
      <c r="O23">
        <v>55.9</v>
      </c>
      <c r="P23">
        <v>56.3</v>
      </c>
      <c r="Q23">
        <v>52.5</v>
      </c>
      <c r="R23">
        <v>52.4</v>
      </c>
      <c r="S23">
        <v>20.399999999999999</v>
      </c>
      <c r="T23">
        <v>6553.5</v>
      </c>
      <c r="U23">
        <v>51.9</v>
      </c>
      <c r="V23">
        <v>51.8</v>
      </c>
      <c r="W23">
        <v>48.8</v>
      </c>
      <c r="X23">
        <v>6517.4</v>
      </c>
      <c r="Y23">
        <v>32.299999999999997</v>
      </c>
      <c r="Z23">
        <v>45.1</v>
      </c>
      <c r="AA23">
        <v>45.1</v>
      </c>
      <c r="AB23">
        <v>45.1</v>
      </c>
      <c r="AC23">
        <v>45.1</v>
      </c>
      <c r="AD23">
        <v>30</v>
      </c>
      <c r="AE23">
        <v>52.4</v>
      </c>
      <c r="AF23">
        <v>32.5</v>
      </c>
      <c r="AG23">
        <v>51.9</v>
      </c>
      <c r="AH23">
        <v>56.1</v>
      </c>
      <c r="AI23">
        <v>4.5</v>
      </c>
      <c r="AJ23">
        <v>3.4</v>
      </c>
      <c r="AK23">
        <v>25.2</v>
      </c>
      <c r="AL23">
        <v>20.399999999999999</v>
      </c>
      <c r="AM23">
        <v>2343.1</v>
      </c>
      <c r="AN23">
        <v>6510.5</v>
      </c>
      <c r="AO23">
        <v>9.6</v>
      </c>
      <c r="AP23">
        <v>10.1</v>
      </c>
      <c r="AQ23">
        <v>10</v>
      </c>
      <c r="AR23">
        <v>6551.2</v>
      </c>
      <c r="AS23">
        <v>49.5</v>
      </c>
      <c r="AT23">
        <v>6553.3</v>
      </c>
      <c r="AU23">
        <v>15</v>
      </c>
      <c r="AV23">
        <v>27</v>
      </c>
      <c r="AW23">
        <v>30</v>
      </c>
      <c r="AX23">
        <v>490</v>
      </c>
    </row>
    <row r="24" spans="1:50">
      <c r="A24">
        <v>495</v>
      </c>
      <c r="B24">
        <v>1</v>
      </c>
      <c r="C24">
        <v>0</v>
      </c>
      <c r="D24">
        <v>45.7</v>
      </c>
      <c r="E24">
        <v>45.8</v>
      </c>
      <c r="F24">
        <v>45.7</v>
      </c>
      <c r="G24">
        <v>45.7</v>
      </c>
      <c r="H24">
        <v>45.6</v>
      </c>
      <c r="I24">
        <v>45.8</v>
      </c>
      <c r="J24">
        <v>45.7</v>
      </c>
      <c r="K24">
        <v>45.8</v>
      </c>
      <c r="L24">
        <v>43.5</v>
      </c>
      <c r="M24">
        <v>31.1</v>
      </c>
      <c r="N24">
        <v>30.9</v>
      </c>
      <c r="O24">
        <v>62.5</v>
      </c>
      <c r="P24">
        <v>63.1</v>
      </c>
      <c r="Q24">
        <v>58.4</v>
      </c>
      <c r="R24">
        <v>58.3</v>
      </c>
      <c r="S24">
        <v>19.600000000000001</v>
      </c>
      <c r="T24">
        <v>6553.5</v>
      </c>
      <c r="U24">
        <v>57.4</v>
      </c>
      <c r="V24">
        <v>57.2</v>
      </c>
      <c r="W24">
        <v>53.9</v>
      </c>
      <c r="X24">
        <v>6517.4</v>
      </c>
      <c r="Y24">
        <v>33.9</v>
      </c>
      <c r="Z24">
        <v>45.7</v>
      </c>
      <c r="AA24">
        <v>45.7</v>
      </c>
      <c r="AB24">
        <v>45.7</v>
      </c>
      <c r="AC24">
        <v>45.7</v>
      </c>
      <c r="AD24">
        <v>31</v>
      </c>
      <c r="AE24">
        <v>58.3</v>
      </c>
      <c r="AF24">
        <v>34.200000000000003</v>
      </c>
      <c r="AG24">
        <v>57.3</v>
      </c>
      <c r="AH24">
        <v>62.6</v>
      </c>
      <c r="AI24">
        <v>5</v>
      </c>
      <c r="AJ24">
        <v>4</v>
      </c>
      <c r="AK24">
        <v>30.2</v>
      </c>
      <c r="AL24">
        <v>24.3</v>
      </c>
      <c r="AM24">
        <v>2343.1</v>
      </c>
      <c r="AN24">
        <v>6510.5</v>
      </c>
      <c r="AO24">
        <v>9.6999999999999993</v>
      </c>
      <c r="AP24">
        <v>10.1</v>
      </c>
      <c r="AQ24">
        <v>10</v>
      </c>
      <c r="AR24">
        <v>6551.2</v>
      </c>
      <c r="AS24">
        <v>49.4</v>
      </c>
      <c r="AT24">
        <v>6553.2</v>
      </c>
      <c r="AU24">
        <v>15</v>
      </c>
      <c r="AV24">
        <v>27</v>
      </c>
      <c r="AW24">
        <v>30</v>
      </c>
      <c r="AX24">
        <v>515</v>
      </c>
    </row>
    <row r="25" spans="1:50">
      <c r="A25">
        <v>495</v>
      </c>
      <c r="B25">
        <v>1</v>
      </c>
      <c r="C25">
        <v>0</v>
      </c>
      <c r="D25">
        <v>45.7</v>
      </c>
      <c r="E25">
        <v>45.8</v>
      </c>
      <c r="F25">
        <v>45.7</v>
      </c>
      <c r="G25">
        <v>45.7</v>
      </c>
      <c r="H25">
        <v>45.6</v>
      </c>
      <c r="I25">
        <v>45.8</v>
      </c>
      <c r="J25">
        <v>45.7</v>
      </c>
      <c r="K25">
        <v>45.8</v>
      </c>
      <c r="L25">
        <v>43.5</v>
      </c>
      <c r="M25">
        <v>31.1</v>
      </c>
      <c r="N25">
        <v>30.9</v>
      </c>
      <c r="O25">
        <v>62.5</v>
      </c>
      <c r="P25">
        <v>63.1</v>
      </c>
      <c r="Q25">
        <v>58.4</v>
      </c>
      <c r="R25">
        <v>58.3</v>
      </c>
      <c r="S25">
        <v>19.600000000000001</v>
      </c>
      <c r="T25">
        <v>6553.5</v>
      </c>
      <c r="U25">
        <v>57.4</v>
      </c>
      <c r="V25">
        <v>57.2</v>
      </c>
      <c r="W25">
        <v>53.9</v>
      </c>
      <c r="X25">
        <v>6517.4</v>
      </c>
      <c r="Y25">
        <v>33.9</v>
      </c>
      <c r="Z25">
        <v>45.7</v>
      </c>
      <c r="AA25">
        <v>45.7</v>
      </c>
      <c r="AB25">
        <v>45.7</v>
      </c>
      <c r="AC25">
        <v>45.7</v>
      </c>
      <c r="AD25">
        <v>31</v>
      </c>
      <c r="AE25">
        <v>58.3</v>
      </c>
      <c r="AF25">
        <v>34.200000000000003</v>
      </c>
      <c r="AG25">
        <v>57.3</v>
      </c>
      <c r="AH25">
        <v>62.6</v>
      </c>
      <c r="AI25">
        <v>5</v>
      </c>
      <c r="AJ25">
        <v>4</v>
      </c>
      <c r="AK25">
        <v>30.2</v>
      </c>
      <c r="AL25">
        <v>24.3</v>
      </c>
      <c r="AM25">
        <v>2343.1</v>
      </c>
      <c r="AN25">
        <v>6510.5</v>
      </c>
      <c r="AO25">
        <v>9.6999999999999993</v>
      </c>
      <c r="AP25">
        <v>10.1</v>
      </c>
      <c r="AQ25">
        <v>10</v>
      </c>
      <c r="AR25">
        <v>6551.2</v>
      </c>
      <c r="AS25">
        <v>49.4</v>
      </c>
      <c r="AT25">
        <v>6553.2</v>
      </c>
      <c r="AU25">
        <v>15</v>
      </c>
      <c r="AV25">
        <v>27</v>
      </c>
      <c r="AW25">
        <v>30</v>
      </c>
      <c r="AX25">
        <v>515</v>
      </c>
    </row>
    <row r="26" spans="1:50">
      <c r="A26">
        <v>495</v>
      </c>
      <c r="B26">
        <v>1</v>
      </c>
      <c r="C26">
        <v>0</v>
      </c>
      <c r="D26">
        <v>45.7</v>
      </c>
      <c r="E26">
        <v>45.8</v>
      </c>
      <c r="F26">
        <v>45.7</v>
      </c>
      <c r="G26">
        <v>45.7</v>
      </c>
      <c r="H26">
        <v>45.6</v>
      </c>
      <c r="I26">
        <v>45.8</v>
      </c>
      <c r="J26">
        <v>45.7</v>
      </c>
      <c r="K26">
        <v>45.8</v>
      </c>
      <c r="L26">
        <v>43.5</v>
      </c>
      <c r="M26">
        <v>31.1</v>
      </c>
      <c r="N26">
        <v>30.9</v>
      </c>
      <c r="O26">
        <v>62.5</v>
      </c>
      <c r="P26">
        <v>63.1</v>
      </c>
      <c r="Q26">
        <v>58.4</v>
      </c>
      <c r="R26">
        <v>58.3</v>
      </c>
      <c r="S26">
        <v>19.600000000000001</v>
      </c>
      <c r="T26">
        <v>6553.5</v>
      </c>
      <c r="U26">
        <v>57.4</v>
      </c>
      <c r="V26">
        <v>57.2</v>
      </c>
      <c r="W26">
        <v>53.9</v>
      </c>
      <c r="X26">
        <v>6517.4</v>
      </c>
      <c r="Y26">
        <v>33.9</v>
      </c>
      <c r="Z26">
        <v>45.7</v>
      </c>
      <c r="AA26">
        <v>45.7</v>
      </c>
      <c r="AB26">
        <v>45.7</v>
      </c>
      <c r="AC26">
        <v>45.7</v>
      </c>
      <c r="AD26">
        <v>31</v>
      </c>
      <c r="AE26">
        <v>58.3</v>
      </c>
      <c r="AF26">
        <v>34.200000000000003</v>
      </c>
      <c r="AG26">
        <v>57.3</v>
      </c>
      <c r="AH26">
        <v>62.6</v>
      </c>
      <c r="AI26">
        <v>5</v>
      </c>
      <c r="AJ26">
        <v>4</v>
      </c>
      <c r="AK26">
        <v>30.2</v>
      </c>
      <c r="AL26">
        <v>24.3</v>
      </c>
      <c r="AM26">
        <v>2343.1</v>
      </c>
      <c r="AN26">
        <v>6510.5</v>
      </c>
      <c r="AO26">
        <v>9.6999999999999993</v>
      </c>
      <c r="AP26">
        <v>10.1</v>
      </c>
      <c r="AQ26">
        <v>10</v>
      </c>
      <c r="AR26">
        <v>6551.2</v>
      </c>
      <c r="AS26">
        <v>49.4</v>
      </c>
      <c r="AT26">
        <v>6553.2</v>
      </c>
      <c r="AU26">
        <v>15</v>
      </c>
      <c r="AV26">
        <v>27</v>
      </c>
      <c r="AW26">
        <v>30</v>
      </c>
      <c r="AX26">
        <v>515</v>
      </c>
    </row>
    <row r="27" spans="1:50">
      <c r="A27">
        <v>525</v>
      </c>
      <c r="B27">
        <v>1</v>
      </c>
      <c r="C27">
        <v>0</v>
      </c>
      <c r="D27">
        <v>45.8</v>
      </c>
      <c r="E27">
        <v>45.9</v>
      </c>
      <c r="F27">
        <v>45.8</v>
      </c>
      <c r="G27">
        <v>45.8</v>
      </c>
      <c r="H27">
        <v>45.8</v>
      </c>
      <c r="I27">
        <v>45.9</v>
      </c>
      <c r="J27">
        <v>45.8</v>
      </c>
      <c r="K27">
        <v>45.9</v>
      </c>
      <c r="L27">
        <v>43.7</v>
      </c>
      <c r="M27">
        <v>28.5</v>
      </c>
      <c r="N27">
        <v>28.4</v>
      </c>
      <c r="O27">
        <v>41.2</v>
      </c>
      <c r="P27">
        <v>41.7</v>
      </c>
      <c r="Q27">
        <v>39.200000000000003</v>
      </c>
      <c r="R27">
        <v>38.9</v>
      </c>
      <c r="S27">
        <v>22.9</v>
      </c>
      <c r="T27">
        <v>6553.5</v>
      </c>
      <c r="U27">
        <v>40</v>
      </c>
      <c r="V27">
        <v>39.700000000000003</v>
      </c>
      <c r="W27">
        <v>37.9</v>
      </c>
      <c r="X27">
        <v>6517.4</v>
      </c>
      <c r="Y27">
        <v>29.6</v>
      </c>
      <c r="Z27">
        <v>45.8</v>
      </c>
      <c r="AA27">
        <v>45.8</v>
      </c>
      <c r="AB27">
        <v>45.8</v>
      </c>
      <c r="AC27">
        <v>45.8</v>
      </c>
      <c r="AD27">
        <v>28.5</v>
      </c>
      <c r="AE27">
        <v>39.1</v>
      </c>
      <c r="AF27">
        <v>29.8</v>
      </c>
      <c r="AG27">
        <v>39.9</v>
      </c>
      <c r="AH27">
        <v>41.5</v>
      </c>
      <c r="AI27">
        <v>3.2</v>
      </c>
      <c r="AJ27">
        <v>2.4</v>
      </c>
      <c r="AK27">
        <v>14</v>
      </c>
      <c r="AL27">
        <v>10.7</v>
      </c>
      <c r="AM27">
        <v>2343.1</v>
      </c>
      <c r="AN27">
        <v>6510.5</v>
      </c>
      <c r="AO27">
        <v>8.1999999999999993</v>
      </c>
      <c r="AP27">
        <v>8.3000000000000007</v>
      </c>
      <c r="AQ27">
        <v>10</v>
      </c>
      <c r="AR27">
        <v>6551.2</v>
      </c>
      <c r="AS27">
        <v>49.5</v>
      </c>
      <c r="AT27">
        <v>6553.1</v>
      </c>
      <c r="AU27">
        <v>15</v>
      </c>
      <c r="AV27">
        <v>27</v>
      </c>
      <c r="AW27">
        <v>5</v>
      </c>
      <c r="AX27">
        <v>160</v>
      </c>
    </row>
    <row r="28" spans="1:50">
      <c r="A28">
        <v>525</v>
      </c>
      <c r="B28">
        <v>1</v>
      </c>
      <c r="C28">
        <v>0</v>
      </c>
      <c r="D28">
        <v>45.8</v>
      </c>
      <c r="E28">
        <v>45.9</v>
      </c>
      <c r="F28">
        <v>45.8</v>
      </c>
      <c r="G28">
        <v>45.8</v>
      </c>
      <c r="H28">
        <v>45.8</v>
      </c>
      <c r="I28">
        <v>45.9</v>
      </c>
      <c r="J28">
        <v>45.8</v>
      </c>
      <c r="K28">
        <v>45.9</v>
      </c>
      <c r="L28">
        <v>43.7</v>
      </c>
      <c r="M28">
        <v>28.5</v>
      </c>
      <c r="N28">
        <v>28.4</v>
      </c>
      <c r="O28">
        <v>41.2</v>
      </c>
      <c r="P28">
        <v>41.7</v>
      </c>
      <c r="Q28">
        <v>39.200000000000003</v>
      </c>
      <c r="R28">
        <v>38.9</v>
      </c>
      <c r="S28">
        <v>22.9</v>
      </c>
      <c r="T28">
        <v>6553.5</v>
      </c>
      <c r="U28">
        <v>40</v>
      </c>
      <c r="V28">
        <v>39.700000000000003</v>
      </c>
      <c r="W28">
        <v>37.9</v>
      </c>
      <c r="X28">
        <v>6517.4</v>
      </c>
      <c r="Y28">
        <v>29.6</v>
      </c>
      <c r="Z28">
        <v>45.8</v>
      </c>
      <c r="AA28">
        <v>45.8</v>
      </c>
      <c r="AB28">
        <v>45.8</v>
      </c>
      <c r="AC28">
        <v>45.8</v>
      </c>
      <c r="AD28">
        <v>28.5</v>
      </c>
      <c r="AE28">
        <v>39.1</v>
      </c>
      <c r="AF28">
        <v>29.8</v>
      </c>
      <c r="AG28">
        <v>39.9</v>
      </c>
      <c r="AH28">
        <v>41.5</v>
      </c>
      <c r="AI28">
        <v>3.2</v>
      </c>
      <c r="AJ28">
        <v>2.4</v>
      </c>
      <c r="AK28">
        <v>14</v>
      </c>
      <c r="AL28">
        <v>10.7</v>
      </c>
      <c r="AM28">
        <v>2343.1</v>
      </c>
      <c r="AN28">
        <v>6510.5</v>
      </c>
      <c r="AO28">
        <v>8.1999999999999993</v>
      </c>
      <c r="AP28">
        <v>8.3000000000000007</v>
      </c>
      <c r="AQ28">
        <v>10</v>
      </c>
      <c r="AR28">
        <v>6551.2</v>
      </c>
      <c r="AS28">
        <v>49.5</v>
      </c>
      <c r="AT28">
        <v>6553.1</v>
      </c>
      <c r="AU28">
        <v>15</v>
      </c>
      <c r="AV28">
        <v>27</v>
      </c>
      <c r="AW28">
        <v>5</v>
      </c>
      <c r="AX28">
        <v>160</v>
      </c>
    </row>
    <row r="29" spans="1:50">
      <c r="A29">
        <v>525</v>
      </c>
      <c r="B29">
        <v>1</v>
      </c>
      <c r="C29">
        <v>0</v>
      </c>
      <c r="D29">
        <v>45.8</v>
      </c>
      <c r="E29">
        <v>45.9</v>
      </c>
      <c r="F29">
        <v>45.8</v>
      </c>
      <c r="G29">
        <v>45.8</v>
      </c>
      <c r="H29">
        <v>45.8</v>
      </c>
      <c r="I29">
        <v>45.9</v>
      </c>
      <c r="J29">
        <v>45.8</v>
      </c>
      <c r="K29">
        <v>45.9</v>
      </c>
      <c r="L29">
        <v>43.7</v>
      </c>
      <c r="M29">
        <v>28.5</v>
      </c>
      <c r="N29">
        <v>28.4</v>
      </c>
      <c r="O29">
        <v>41.2</v>
      </c>
      <c r="P29">
        <v>41.7</v>
      </c>
      <c r="Q29">
        <v>39.200000000000003</v>
      </c>
      <c r="R29">
        <v>38.9</v>
      </c>
      <c r="S29">
        <v>22.9</v>
      </c>
      <c r="T29">
        <v>6553.5</v>
      </c>
      <c r="U29">
        <v>40</v>
      </c>
      <c r="V29">
        <v>39.700000000000003</v>
      </c>
      <c r="W29">
        <v>37.9</v>
      </c>
      <c r="X29">
        <v>6517.4</v>
      </c>
      <c r="Y29">
        <v>29.6</v>
      </c>
      <c r="Z29">
        <v>45.8</v>
      </c>
      <c r="AA29">
        <v>45.8</v>
      </c>
      <c r="AB29">
        <v>45.8</v>
      </c>
      <c r="AC29">
        <v>45.8</v>
      </c>
      <c r="AD29">
        <v>28.5</v>
      </c>
      <c r="AE29">
        <v>39.1</v>
      </c>
      <c r="AF29">
        <v>29.8</v>
      </c>
      <c r="AG29">
        <v>39.9</v>
      </c>
      <c r="AH29">
        <v>41.5</v>
      </c>
      <c r="AI29">
        <v>3.2</v>
      </c>
      <c r="AJ29">
        <v>2.4</v>
      </c>
      <c r="AK29">
        <v>14</v>
      </c>
      <c r="AL29">
        <v>10.7</v>
      </c>
      <c r="AM29">
        <v>2343.1</v>
      </c>
      <c r="AN29">
        <v>6510.5</v>
      </c>
      <c r="AO29">
        <v>8.1999999999999993</v>
      </c>
      <c r="AP29">
        <v>8.3000000000000007</v>
      </c>
      <c r="AQ29">
        <v>10</v>
      </c>
      <c r="AR29">
        <v>6551.2</v>
      </c>
      <c r="AS29">
        <v>49.5</v>
      </c>
      <c r="AT29">
        <v>6553.1</v>
      </c>
      <c r="AU29">
        <v>15</v>
      </c>
      <c r="AV29">
        <v>27</v>
      </c>
      <c r="AW29">
        <v>5</v>
      </c>
      <c r="AX29">
        <v>160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EA80A3C7559D4DBA7BA69FDDA4199F" ma:contentTypeVersion="31" ma:contentTypeDescription="Create a new document." ma:contentTypeScope="" ma:versionID="beeaf40abc319198e3c3d8eb09130578">
  <xsd:schema xmlns:xsd="http://www.w3.org/2001/XMLSchema" xmlns:xs="http://www.w3.org/2001/XMLSchema" xmlns:p="http://schemas.microsoft.com/office/2006/metadata/properties" xmlns:ns1="http://schemas.microsoft.com/sharepoint/v3" xmlns:ns2="a0f089eb-8cb7-4d91-8472-2d6d665d2caf" xmlns:ns3="607e7446-c6aa-4e58-aef2-d083adb2589d" targetNamespace="http://schemas.microsoft.com/office/2006/metadata/properties" ma:root="true" ma:fieldsID="0800b44febee161f95f1c3f649a9e2af" ns1:_="" ns2:_="" ns3:_="">
    <xsd:import namespace="http://schemas.microsoft.com/sharepoint/v3"/>
    <xsd:import namespace="a0f089eb-8cb7-4d91-8472-2d6d665d2caf"/>
    <xsd:import namespace="607e7446-c6aa-4e58-aef2-d083adb258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Pre_x002d_Screen" minOccurs="0"/>
                <xsd:element ref="ns2:Status" minOccurs="0"/>
                <xsd:element ref="ns2:Details" minOccurs="0"/>
                <xsd:element ref="ns2:Note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f089eb-8cb7-4d91-8472-2d6d665d2c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59af035c-6bdc-4e74-8a61-e8caa2b513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e_x002d_Screen" ma:index="24" nillable="true" ma:displayName="Pre-Screen Requested" ma:default="0" ma:description="Resume has been checked and a pre-screen call is requested prior to initial interview" ma:format="Dropdown" ma:internalName="Pre_x002d_Screen">
      <xsd:simpleType>
        <xsd:restriction base="dms:Boolean"/>
      </xsd:simpleType>
    </xsd:element>
    <xsd:element name="Status" ma:index="25" nillable="true" ma:displayName="Status" ma:default="Not Reviewed for Pre-screen" ma:format="Dropdown" ma:internalName="Status">
      <xsd:simpleType>
        <xsd:restriction base="dms:Choice">
          <xsd:enumeration value="Awaiting Pre-screen"/>
          <xsd:enumeration value="Approved for Int#1"/>
          <xsd:enumeration value="In Review"/>
          <xsd:enumeration value="Not Reviewed for Pre-screen"/>
          <xsd:enumeration value="Not Approved"/>
          <xsd:enumeration value="Screen Scheduled"/>
        </xsd:restriction>
      </xsd:simpleType>
    </xsd:element>
    <xsd:element name="Details" ma:index="26" nillable="true" ma:displayName="Comments" ma:format="Dropdown" ma:internalName="Details">
      <xsd:simpleType>
        <xsd:restriction base="dms:Note">
          <xsd:maxLength value="255"/>
        </xsd:restriction>
      </xsd:simpleType>
    </xsd:element>
    <xsd:element name="Notes" ma:index="27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9" nillable="true" ma:displayName="Sign-off status" ma:internalName="Sign_x002d_off_x0020_status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7e7446-c6aa-4e58-aef2-d083adb2589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9c139b6-71c6-42d0-a36f-59a068949375}" ma:internalName="TaxCatchAll" ma:showField="CatchAllData" ma:web="607e7446-c6aa-4e58-aef2-d083adb258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07e7446-c6aa-4e58-aef2-d083adb2589d" xsi:nil="true"/>
    <Pre_x002d_Screen xmlns="a0f089eb-8cb7-4d91-8472-2d6d665d2caf">false</Pre_x002d_Screen>
    <Notes xmlns="a0f089eb-8cb7-4d91-8472-2d6d665d2caf" xsi:nil="true"/>
    <_ip_UnifiedCompliancePolicyUIAction xmlns="http://schemas.microsoft.com/sharepoint/v3" xsi:nil="true"/>
    <Details xmlns="a0f089eb-8cb7-4d91-8472-2d6d665d2caf" xsi:nil="true"/>
    <_Flow_SignoffStatus xmlns="a0f089eb-8cb7-4d91-8472-2d6d665d2caf" xsi:nil="true"/>
    <_ip_UnifiedCompliancePolicyProperties xmlns="http://schemas.microsoft.com/sharepoint/v3" xsi:nil="true"/>
    <lcf76f155ced4ddcb4097134ff3c332f xmlns="a0f089eb-8cb7-4d91-8472-2d6d665d2caf">
      <Terms xmlns="http://schemas.microsoft.com/office/infopath/2007/PartnerControls"/>
    </lcf76f155ced4ddcb4097134ff3c332f>
    <Status xmlns="a0f089eb-8cb7-4d91-8472-2d6d665d2caf">Not Reviewed for Pre-screen</Status>
  </documentManagement>
</p:properties>
</file>

<file path=customXml/itemProps1.xml><?xml version="1.0" encoding="utf-8"?>
<ds:datastoreItem xmlns:ds="http://schemas.openxmlformats.org/officeDocument/2006/customXml" ds:itemID="{8EF0EC15-6F5E-4A12-AE9E-10C583AB082E}"/>
</file>

<file path=customXml/itemProps2.xml><?xml version="1.0" encoding="utf-8"?>
<ds:datastoreItem xmlns:ds="http://schemas.openxmlformats.org/officeDocument/2006/customXml" ds:itemID="{1126C0BA-0A3D-4DCD-9AD4-F883D0853865}"/>
</file>

<file path=customXml/itemProps3.xml><?xml version="1.0" encoding="utf-8"?>
<ds:datastoreItem xmlns:ds="http://schemas.openxmlformats.org/officeDocument/2006/customXml" ds:itemID="{1CCDA09A-5908-43FF-8C55-C2F07220B2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Nassim Khaled</dc:creator>
  <cp:keywords/>
  <dc:description/>
  <cp:lastModifiedBy/>
  <cp:revision/>
  <dcterms:created xsi:type="dcterms:W3CDTF">2022-11-16T23:51:54Z</dcterms:created>
  <dcterms:modified xsi:type="dcterms:W3CDTF">2026-09-26T13:31:26Z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0x01010058EA80A3C7559D4DBA7BA69FDDA4199F</vt:lpwstr>
  </property>
</Properties>
</file>